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4"/>
    <sheet state="visible" name="LECTURAS" sheetId="2" r:id="rId5"/>
    <sheet state="visible" name="Enero" sheetId="3" r:id="rId6"/>
    <sheet state="visible" name="Febrero" sheetId="4" r:id="rId7"/>
    <sheet state="visible" name="Marzo" sheetId="5" r:id="rId8"/>
    <sheet state="visible" name="Abril" sheetId="6" r:id="rId9"/>
    <sheet state="visible" name="Mayo" sheetId="7" r:id="rId10"/>
    <sheet state="visible" name="Junio" sheetId="8" r:id="rId11"/>
    <sheet state="visible" name="Julio" sheetId="9" r:id="rId12"/>
    <sheet state="visible" name="Agosto" sheetId="10" r:id="rId13"/>
    <sheet state="visible" name="Septiembre" sheetId="11" r:id="rId14"/>
    <sheet state="visible" name="Octubre" sheetId="12" r:id="rId15"/>
    <sheet state="visible" name="Noviembre" sheetId="13" r:id="rId16"/>
    <sheet state="visible" name="Diciembre" sheetId="14" r:id="rId17"/>
  </sheets>
  <definedNames/>
  <calcPr/>
  <extLst>
    <ext uri="GoogleSheetsCustomDataVersion2">
      <go:sheetsCustomData xmlns:go="http://customooxmlschemas.google.com/" r:id="rId18" roundtripDataChecksum="rHbbTMLbWjprovlYNfK0SJS9z0t5QoSm7ZdH+0kEJEE="/>
    </ext>
  </extLst>
</workbook>
</file>

<file path=xl/sharedStrings.xml><?xml version="1.0" encoding="utf-8"?>
<sst xmlns="http://schemas.openxmlformats.org/spreadsheetml/2006/main" count="837" uniqueCount="759">
  <si>
    <t>Año</t>
  </si>
  <si>
    <t>Cómo usar (año a año):</t>
  </si>
  <si>
    <t>1) Cambia el año en B1. Todas las hojas de meses se actualizan automáticamente.</t>
  </si>
  <si>
    <t>2) En la hoja LECTURAS, completa la tabla usando la clave MM-DD (ej: 01-15).</t>
  </si>
  <si>
    <t xml:space="preserve">   - Así no tienes que rehacer nada cada año: la clave MM-DD es igual siempre.</t>
  </si>
  <si>
    <t>3) Las lecturas se muestran automáticamente en cada día del mes.</t>
  </si>
  <si>
    <t>4) El rango de búsqueda está configurado hasta la fila 1000 (puedes ampliarlo si lo necesitas).</t>
  </si>
  <si>
    <t>5) Exporta a PDF si quieres imprimir.</t>
  </si>
  <si>
    <t>MM-DD</t>
  </si>
  <si>
    <t>Lectura</t>
  </si>
  <si>
    <t>Génesis 1–3; Juan 1–2</t>
  </si>
  <si>
    <t>01-01</t>
  </si>
  <si>
    <t>Génesis 4–5; Juan 3</t>
  </si>
  <si>
    <t>01-02</t>
  </si>
  <si>
    <t>Génesis 6–7; Juan 4</t>
  </si>
  <si>
    <t>01-03</t>
  </si>
  <si>
    <t>Génesis 8–9; Juan 5</t>
  </si>
  <si>
    <t>01-04</t>
  </si>
  <si>
    <t>Génesis 10–11; Juan 6</t>
  </si>
  <si>
    <t>01-05</t>
  </si>
  <si>
    <t>Génesis 12–13; Juan 7</t>
  </si>
  <si>
    <t>01-06</t>
  </si>
  <si>
    <t>Génesis 14–15; Juan 8</t>
  </si>
  <si>
    <t>01-07</t>
  </si>
  <si>
    <t>Génesis 16–18; Juan 9–10</t>
  </si>
  <si>
    <t>01-08</t>
  </si>
  <si>
    <t>Génesis 19–20; Juan 11</t>
  </si>
  <si>
    <t>01-09</t>
  </si>
  <si>
    <t>Génesis 21–22; Juan 12</t>
  </si>
  <si>
    <t>01-10</t>
  </si>
  <si>
    <t>Génesis 23–24; Juan 13</t>
  </si>
  <si>
    <t>01-11</t>
  </si>
  <si>
    <t>Génesis 25–26; Juan 14</t>
  </si>
  <si>
    <t>01-12</t>
  </si>
  <si>
    <t>Génesis 27–28; Juan 15</t>
  </si>
  <si>
    <t>01-13</t>
  </si>
  <si>
    <t>Génesis 29–30; Juan 16</t>
  </si>
  <si>
    <t>01-14</t>
  </si>
  <si>
    <t>Génesis 31–34; Juan 17</t>
  </si>
  <si>
    <t>01-15</t>
  </si>
  <si>
    <t>Génesis 35–36; Juan 18</t>
  </si>
  <si>
    <t>01-16</t>
  </si>
  <si>
    <t>Génesis 37–38; Juan 19</t>
  </si>
  <si>
    <t>01-17</t>
  </si>
  <si>
    <t>Génesis 39–40; Juan 20</t>
  </si>
  <si>
    <t>01-18</t>
  </si>
  <si>
    <t>Génesis 41–42; Juan 21</t>
  </si>
  <si>
    <t>01-19</t>
  </si>
  <si>
    <t>Génesis 43–45</t>
  </si>
  <si>
    <t>01-20</t>
  </si>
  <si>
    <t>Génesis 46–48</t>
  </si>
  <si>
    <t>01-21</t>
  </si>
  <si>
    <t>Génesis 49–50; Éxodo 1–3</t>
  </si>
  <si>
    <t>01-22</t>
  </si>
  <si>
    <t>Éxodo 4–5; Romanos 1</t>
  </si>
  <si>
    <t>01-23</t>
  </si>
  <si>
    <t>Éxodo 6–7; Romanos 2</t>
  </si>
  <si>
    <t>01-24</t>
  </si>
  <si>
    <t>Éxodo 8–9; Romanos 3</t>
  </si>
  <si>
    <t>01-25</t>
  </si>
  <si>
    <t>Éxodo 10–11; Romanos 4</t>
  </si>
  <si>
    <t>01-26</t>
  </si>
  <si>
    <t>Éxodo 12–13; Romanos 5</t>
  </si>
  <si>
    <t>01-27</t>
  </si>
  <si>
    <t>Éxodo 14–15; Romanos 6</t>
  </si>
  <si>
    <t>01-28</t>
  </si>
  <si>
    <t>Éxodo 16–20</t>
  </si>
  <si>
    <t>01-29</t>
  </si>
  <si>
    <t>Éxodo 21–22; Romanos 7</t>
  </si>
  <si>
    <t>01-30</t>
  </si>
  <si>
    <t>Éxodo 23–24; Romanos 8</t>
  </si>
  <si>
    <t>01-31</t>
  </si>
  <si>
    <t xml:space="preserve"> Éxodo 25–26; Romanos 9</t>
  </si>
  <si>
    <t>02-01</t>
  </si>
  <si>
    <t xml:space="preserve"> Éxodo 27–28; Romanos 10</t>
  </si>
  <si>
    <t>02-02</t>
  </si>
  <si>
    <t xml:space="preserve"> Éxodo 29–30; Romanos 11</t>
  </si>
  <si>
    <t>02-03</t>
  </si>
  <si>
    <t xml:space="preserve"> Éxodo 31–32; Romanos 12</t>
  </si>
  <si>
    <t>02-04</t>
  </si>
  <si>
    <t xml:space="preserve"> Éxodo 33–36; Romanos 13</t>
  </si>
  <si>
    <t>02-05</t>
  </si>
  <si>
    <t xml:space="preserve"> Éxodo 37–38; Romanos 14</t>
  </si>
  <si>
    <t>02-06</t>
  </si>
  <si>
    <t xml:space="preserve"> Éxodo 39–40; Romanos 15</t>
  </si>
  <si>
    <t>02-07</t>
  </si>
  <si>
    <t xml:space="preserve"> Levítico 1–2; Romanos 16</t>
  </si>
  <si>
    <t>02-08</t>
  </si>
  <si>
    <t xml:space="preserve"> Levítico 3–4; Hebreos 1</t>
  </si>
  <si>
    <t>02-09</t>
  </si>
  <si>
    <t xml:space="preserve"> Levítico 5–6; Hebreos 2</t>
  </si>
  <si>
    <t>02-10</t>
  </si>
  <si>
    <t xml:space="preserve"> Levítico 7–8; Hebreos 3</t>
  </si>
  <si>
    <t>02-11</t>
  </si>
  <si>
    <t xml:space="preserve"> Levítico 9–12; Hebreos 4</t>
  </si>
  <si>
    <t>02-12</t>
  </si>
  <si>
    <t xml:space="preserve"> Levítico 13–14; Hebreos 5</t>
  </si>
  <si>
    <t>02-13</t>
  </si>
  <si>
    <t xml:space="preserve"> Levítico 15–16; Hebreos 6</t>
  </si>
  <si>
    <t>02-14</t>
  </si>
  <si>
    <t xml:space="preserve"> Levítico 17–18; Hebreos 7</t>
  </si>
  <si>
    <t>02-15</t>
  </si>
  <si>
    <t xml:space="preserve"> Levítico 19–20; Hebreos 8</t>
  </si>
  <si>
    <t>02-16</t>
  </si>
  <si>
    <t xml:space="preserve"> Levítico 21–23; Hebreos 9</t>
  </si>
  <si>
    <t>02-17</t>
  </si>
  <si>
    <t xml:space="preserve"> Levítico 24–25; Hebreos 10–11</t>
  </si>
  <si>
    <t>02-18</t>
  </si>
  <si>
    <t xml:space="preserve"> Levítico 26–27; Hebreos 12–13</t>
  </si>
  <si>
    <t>02-19</t>
  </si>
  <si>
    <t xml:space="preserve"> Números 1–2; Hechos 1</t>
  </si>
  <si>
    <t>02-20</t>
  </si>
  <si>
    <t xml:space="preserve"> Números 3–4; Hechos 2</t>
  </si>
  <si>
    <t>02-21</t>
  </si>
  <si>
    <t xml:space="preserve"> Números 5–6; Hechos 3</t>
  </si>
  <si>
    <t>02-22</t>
  </si>
  <si>
    <t xml:space="preserve"> Números 7–8; Hechos 4</t>
  </si>
  <si>
    <t>02-23</t>
  </si>
  <si>
    <t xml:space="preserve"> Números 9–10; Hechos 5</t>
  </si>
  <si>
    <t>02-24</t>
  </si>
  <si>
    <t xml:space="preserve"> Números 11–12; Hechos 6–7</t>
  </si>
  <si>
    <t>02-25</t>
  </si>
  <si>
    <t xml:space="preserve"> Números 13–14; Hechos 8–9</t>
  </si>
  <si>
    <t>02-26</t>
  </si>
  <si>
    <t xml:space="preserve"> Números 15–16; Hechos 10</t>
  </si>
  <si>
    <t>02-27</t>
  </si>
  <si>
    <t xml:space="preserve"> Números 17–18; Hechos 11</t>
  </si>
  <si>
    <t>02-28</t>
  </si>
  <si>
    <t xml:space="preserve"> Números 19–20; Hechos 12</t>
  </si>
  <si>
    <t>03-01</t>
  </si>
  <si>
    <t xml:space="preserve"> Números 21–22; Hechos 13</t>
  </si>
  <si>
    <t xml:space="preserve">03-02 </t>
  </si>
  <si>
    <t xml:space="preserve"> Números 23–24; Hechos 14</t>
  </si>
  <si>
    <t xml:space="preserve">03-03 </t>
  </si>
  <si>
    <t xml:space="preserve"> Números 25–26; Hechos 15</t>
  </si>
  <si>
    <t xml:space="preserve">03-04 </t>
  </si>
  <si>
    <t xml:space="preserve"> Hechos 16–20</t>
  </si>
  <si>
    <t xml:space="preserve">03-05 </t>
  </si>
  <si>
    <t xml:space="preserve"> Números 27–28; Hechos 21</t>
  </si>
  <si>
    <t xml:space="preserve">03-06 </t>
  </si>
  <si>
    <t xml:space="preserve"> Números 29–30; Hechos 22</t>
  </si>
  <si>
    <t xml:space="preserve">03-07 </t>
  </si>
  <si>
    <t xml:space="preserve"> Números 31–32; Hechos 23</t>
  </si>
  <si>
    <t xml:space="preserve">03-08 </t>
  </si>
  <si>
    <t xml:space="preserve"> Números 33; Hechos 24–25</t>
  </si>
  <si>
    <t xml:space="preserve">03-09 </t>
  </si>
  <si>
    <t xml:space="preserve"> Números 34–35; Hechos 26</t>
  </si>
  <si>
    <t xml:space="preserve">03-10 </t>
  </si>
  <si>
    <t xml:space="preserve"> Números 36; Hechos 27–28</t>
  </si>
  <si>
    <t xml:space="preserve">03-11 </t>
  </si>
  <si>
    <t xml:space="preserve"> Deuteronomio 1–3; Mateo 1–2</t>
  </si>
  <si>
    <t xml:space="preserve">03-12 </t>
  </si>
  <si>
    <t xml:space="preserve"> Deuteronomio 4–6; Mateo 3</t>
  </si>
  <si>
    <t xml:space="preserve">03-13 </t>
  </si>
  <si>
    <t xml:space="preserve"> Deuteronomio 7–8; Mateo 4</t>
  </si>
  <si>
    <t xml:space="preserve">03-14 </t>
  </si>
  <si>
    <t xml:space="preserve"> Deuteronomio 9–10; Mateo 5</t>
  </si>
  <si>
    <t xml:space="preserve">03-15 </t>
  </si>
  <si>
    <t xml:space="preserve"> Deuteronomio 11–12; Mateo 6</t>
  </si>
  <si>
    <t xml:space="preserve">03-16 </t>
  </si>
  <si>
    <t xml:space="preserve"> Deuteronomio 13–14; Mateo 7</t>
  </si>
  <si>
    <t xml:space="preserve">03-17 </t>
  </si>
  <si>
    <t xml:space="preserve"> Deuteronomio 15–16; Mateo 8</t>
  </si>
  <si>
    <t xml:space="preserve">03-18 </t>
  </si>
  <si>
    <t xml:space="preserve"> Deuteronomio 17; Mateo 9–12</t>
  </si>
  <si>
    <t xml:space="preserve">03-19 </t>
  </si>
  <si>
    <t xml:space="preserve"> Deuteronomio 18; Mateo 13–14</t>
  </si>
  <si>
    <t xml:space="preserve">03-20 </t>
  </si>
  <si>
    <t xml:space="preserve"> Deuteronomio 19; Mateo 15–16</t>
  </si>
  <si>
    <t xml:space="preserve">03-21 </t>
  </si>
  <si>
    <t xml:space="preserve"> Deuteronomio 20–21; Mateo 17</t>
  </si>
  <si>
    <t xml:space="preserve">03-22 </t>
  </si>
  <si>
    <t xml:space="preserve"> Deuteronomio 22–23; Mateo 18</t>
  </si>
  <si>
    <t xml:space="preserve">03-23 </t>
  </si>
  <si>
    <t xml:space="preserve"> Deuteronomio 24; Mateo 19–20</t>
  </si>
  <si>
    <t xml:space="preserve">03-24 </t>
  </si>
  <si>
    <t xml:space="preserve"> Deuteronomio 25–26; Mateo 21</t>
  </si>
  <si>
    <t xml:space="preserve">03-25 </t>
  </si>
  <si>
    <t xml:space="preserve"> Deuteronomio 27; Mateo 22–25</t>
  </si>
  <si>
    <t xml:space="preserve">03-26 </t>
  </si>
  <si>
    <t xml:space="preserve"> Deuteronomio 28–29; Mateo 26</t>
  </si>
  <si>
    <t xml:space="preserve">03-27 </t>
  </si>
  <si>
    <t xml:space="preserve"> Deuteronomio 30–31; Mateo 27</t>
  </si>
  <si>
    <t xml:space="preserve">03-28 </t>
  </si>
  <si>
    <t xml:space="preserve"> Deuteronomio 32–34; Mateo 28</t>
  </si>
  <si>
    <t xml:space="preserve">03-29 </t>
  </si>
  <si>
    <t xml:space="preserve"> Josué 1–2; Proverbios 1</t>
  </si>
  <si>
    <t xml:space="preserve">03-30 </t>
  </si>
  <si>
    <t xml:space="preserve"> Josué 3–4; Proverbios 2</t>
  </si>
  <si>
    <t xml:space="preserve">03-31 </t>
  </si>
  <si>
    <t xml:space="preserve"> Josué 5–6; Proverbios 3</t>
  </si>
  <si>
    <t xml:space="preserve">04-01 </t>
  </si>
  <si>
    <t xml:space="preserve"> Josué 7–9; Proverbios 4–5</t>
  </si>
  <si>
    <t xml:space="preserve">04-02 </t>
  </si>
  <si>
    <t xml:space="preserve"> Josué 10–11; Proverbios 6</t>
  </si>
  <si>
    <t xml:space="preserve">04-03 </t>
  </si>
  <si>
    <t xml:space="preserve"> Josué 12–13; Proverbios 7</t>
  </si>
  <si>
    <t xml:space="preserve">04-04 </t>
  </si>
  <si>
    <t xml:space="preserve"> Josué 14–15; Proverbios 8</t>
  </si>
  <si>
    <t xml:space="preserve">04-05 </t>
  </si>
  <si>
    <t xml:space="preserve"> Josué 16–17; Proverbios 9</t>
  </si>
  <si>
    <t xml:space="preserve">04-06 </t>
  </si>
  <si>
    <t xml:space="preserve"> Josué 18–19; Proverbios 10</t>
  </si>
  <si>
    <t xml:space="preserve">04-07 </t>
  </si>
  <si>
    <t xml:space="preserve"> Josué 20–21; Proverbios 11</t>
  </si>
  <si>
    <t xml:space="preserve">04-08 </t>
  </si>
  <si>
    <t xml:space="preserve"> Josué 22–24; Proverbios 12–13</t>
  </si>
  <si>
    <t xml:space="preserve">04-09 </t>
  </si>
  <si>
    <t xml:space="preserve"> Jueces 1–2; Proverbios 14</t>
  </si>
  <si>
    <t xml:space="preserve">04-10 </t>
  </si>
  <si>
    <t xml:space="preserve"> Jueces 3–4; Proverbios 15</t>
  </si>
  <si>
    <t xml:space="preserve">04-11 </t>
  </si>
  <si>
    <t xml:space="preserve"> Jueces 5–6; Proverbios 16</t>
  </si>
  <si>
    <t xml:space="preserve">04-12 </t>
  </si>
  <si>
    <t xml:space="preserve"> Jueces 7–8; Proverbios 17</t>
  </si>
  <si>
    <t xml:space="preserve">04-13 </t>
  </si>
  <si>
    <t xml:space="preserve"> Jueces 9–10; Proverbios 18</t>
  </si>
  <si>
    <t xml:space="preserve">04-14 </t>
  </si>
  <si>
    <t xml:space="preserve"> Jueces 11–12; Proverbios 19</t>
  </si>
  <si>
    <t xml:space="preserve">04-15 </t>
  </si>
  <si>
    <t xml:space="preserve"> Jueces 13–15; Proverbios 20–21</t>
  </si>
  <si>
    <t xml:space="preserve">04-16 </t>
  </si>
  <si>
    <t xml:space="preserve"> Jueces 16–17; Proverbios 22</t>
  </si>
  <si>
    <t xml:space="preserve">04-17 </t>
  </si>
  <si>
    <t xml:space="preserve"> Jueces 18–19; Proverbios 23</t>
  </si>
  <si>
    <t xml:space="preserve">04-18 </t>
  </si>
  <si>
    <t xml:space="preserve"> Jueces 20–21; Proverbios 24</t>
  </si>
  <si>
    <t xml:space="preserve">04-19 </t>
  </si>
  <si>
    <t xml:space="preserve"> Rut 1–2; Proverbios 25</t>
  </si>
  <si>
    <t xml:space="preserve">04-20 </t>
  </si>
  <si>
    <t xml:space="preserve"> Rut 3–4; Proverbios 26</t>
  </si>
  <si>
    <t xml:space="preserve">04-21 </t>
  </si>
  <si>
    <t xml:space="preserve"> 1 Samuel 1–2; Proverbios 27</t>
  </si>
  <si>
    <t xml:space="preserve">04-22 </t>
  </si>
  <si>
    <t xml:space="preserve"> 1 Samuel 3; Proverbios 28–29</t>
  </si>
  <si>
    <t xml:space="preserve">04-23 </t>
  </si>
  <si>
    <t xml:space="preserve"> 1 Samuel 4–5; Proverbios 30</t>
  </si>
  <si>
    <t xml:space="preserve">04-24 </t>
  </si>
  <si>
    <t xml:space="preserve"> 1 Samuel 6–7; Proverbios 31</t>
  </si>
  <si>
    <t xml:space="preserve">04-25 </t>
  </si>
  <si>
    <t xml:space="preserve"> 1 Samuel 8–9; Salmo 1</t>
  </si>
  <si>
    <t xml:space="preserve">04-26 </t>
  </si>
  <si>
    <t xml:space="preserve"> 1 Samuel 10–11; Salmo 2</t>
  </si>
  <si>
    <t xml:space="preserve">04-27 </t>
  </si>
  <si>
    <t xml:space="preserve"> 1 Samuel 12–13; Salmo 3–4</t>
  </si>
  <si>
    <t xml:space="preserve">04-28 </t>
  </si>
  <si>
    <t xml:space="preserve"> 1 Samuel 14–15; Salmo 5–6</t>
  </si>
  <si>
    <t xml:space="preserve">04-29 </t>
  </si>
  <si>
    <t xml:space="preserve"> 1 Samuel 16–17; Salmo 7–9</t>
  </si>
  <si>
    <t xml:space="preserve">04-30 </t>
  </si>
  <si>
    <t xml:space="preserve"> 1 Samuel 18–19; Salmo 10</t>
  </si>
  <si>
    <t>05-01</t>
  </si>
  <si>
    <t xml:space="preserve"> 1 Samuel 20–21; Salmo 11</t>
  </si>
  <si>
    <t>05-02</t>
  </si>
  <si>
    <t xml:space="preserve"> 1 Samuel 22–23; Salmo 12</t>
  </si>
  <si>
    <t>05-03</t>
  </si>
  <si>
    <t xml:space="preserve"> 1 Samuel 24–25; Salmo 13</t>
  </si>
  <si>
    <t>05-04</t>
  </si>
  <si>
    <t xml:space="preserve"> 1 Samuel 26–27; Salmo 14</t>
  </si>
  <si>
    <t>05-05</t>
  </si>
  <si>
    <t xml:space="preserve"> 1 Samuel 28–31</t>
  </si>
  <si>
    <t>05-06</t>
  </si>
  <si>
    <t xml:space="preserve"> 2 Samuel 1–2; Salmo 15–17</t>
  </si>
  <si>
    <t>05-07</t>
  </si>
  <si>
    <t xml:space="preserve"> 2 Samuel 3–4; Salmo 18</t>
  </si>
  <si>
    <t>05-08</t>
  </si>
  <si>
    <t xml:space="preserve"> 2 Samuel 5–6; Salmo 19</t>
  </si>
  <si>
    <t>05-09</t>
  </si>
  <si>
    <t xml:space="preserve"> 2 Samuel 7–8; Salmo 20</t>
  </si>
  <si>
    <t>05-10</t>
  </si>
  <si>
    <t xml:space="preserve"> 2 Samuel 9–10; Salmo 21</t>
  </si>
  <si>
    <t>05-11</t>
  </si>
  <si>
    <t xml:space="preserve"> 2 Samuel 11–12; Salmo 22</t>
  </si>
  <si>
    <t>05-12</t>
  </si>
  <si>
    <t xml:space="preserve"> 2 Samuel 13–14; Salmo 23</t>
  </si>
  <si>
    <t>05-13</t>
  </si>
  <si>
    <t xml:space="preserve"> 2 Samuel 15–16; Salmo 24–26</t>
  </si>
  <si>
    <t>05-14</t>
  </si>
  <si>
    <t xml:space="preserve"> 2 Samuel 17–18; Salmo 27</t>
  </si>
  <si>
    <t>05-15</t>
  </si>
  <si>
    <t xml:space="preserve"> 2 Samuel 19–20; Salmo 28</t>
  </si>
  <si>
    <t>05-16</t>
  </si>
  <si>
    <t xml:space="preserve"> 2 Samuel 21–22; Salmo 29</t>
  </si>
  <si>
    <t>05-17</t>
  </si>
  <si>
    <t xml:space="preserve"> 2 Samuel 23–24; Salmo 30</t>
  </si>
  <si>
    <t>05-18</t>
  </si>
  <si>
    <t xml:space="preserve"> 1 Reyes 1–2; Salmo 31</t>
  </si>
  <si>
    <t>05-19</t>
  </si>
  <si>
    <t xml:space="preserve"> 1 Reyes 3–4; Salmo 32–33</t>
  </si>
  <si>
    <t>05-20</t>
  </si>
  <si>
    <t xml:space="preserve"> 1 Reyes 5–6; Salmo 34–35</t>
  </si>
  <si>
    <t>05-21</t>
  </si>
  <si>
    <t xml:space="preserve"> 1 Reyes 7–8; Salmo 36</t>
  </si>
  <si>
    <t>05-22</t>
  </si>
  <si>
    <t xml:space="preserve"> 1 Reyes 9–10; Salmo 37</t>
  </si>
  <si>
    <t>05-23</t>
  </si>
  <si>
    <t xml:space="preserve"> 1 Reyes 11–12; Salmo 38</t>
  </si>
  <si>
    <t>05-24</t>
  </si>
  <si>
    <t xml:space="preserve"> 1 Reyes 13–14; Salmo 39</t>
  </si>
  <si>
    <t>05-25</t>
  </si>
  <si>
    <t xml:space="preserve"> 1 Reyes 15–16; Salmo 40</t>
  </si>
  <si>
    <t>05-26</t>
  </si>
  <si>
    <t xml:space="preserve"> 1 Reyes 17–18; Salmo 41</t>
  </si>
  <si>
    <t>05-27</t>
  </si>
  <si>
    <t xml:space="preserve"> 1 Reyes 19–22</t>
  </si>
  <si>
    <t>05-28</t>
  </si>
  <si>
    <t xml:space="preserve"> 2 Reyes 1–2; Salmo 42–43</t>
  </si>
  <si>
    <t>05-29</t>
  </si>
  <si>
    <t xml:space="preserve"> 2 Reyes 3–4; Salmo 44</t>
  </si>
  <si>
    <t>05-30</t>
  </si>
  <si>
    <t xml:space="preserve"> 2 Reyes 5–6; Salmo 45</t>
  </si>
  <si>
    <t>05-31</t>
  </si>
  <si>
    <t xml:space="preserve"> 2 Reyes 7–8; Salmo 46</t>
  </si>
  <si>
    <t>06-01</t>
  </si>
  <si>
    <t xml:space="preserve"> 2 Reyes 9–10; Abdías</t>
  </si>
  <si>
    <t>06-02</t>
  </si>
  <si>
    <t xml:space="preserve"> 2 Reyes 11–12; Joel 1–2</t>
  </si>
  <si>
    <t>06-03</t>
  </si>
  <si>
    <t xml:space="preserve"> 2 Reyes 13–15; Joel 3</t>
  </si>
  <si>
    <t>06-04</t>
  </si>
  <si>
    <t xml:space="preserve"> Miqueas 1–3</t>
  </si>
  <si>
    <t>06-05</t>
  </si>
  <si>
    <t xml:space="preserve"> Miqueas 4–6</t>
  </si>
  <si>
    <t>06-06</t>
  </si>
  <si>
    <t xml:space="preserve"> 2 Reyes 16–17</t>
  </si>
  <si>
    <t>06-07</t>
  </si>
  <si>
    <t xml:space="preserve"> 2 Reyes 18–19</t>
  </si>
  <si>
    <t>06-08</t>
  </si>
  <si>
    <t xml:space="preserve"> 2 Reyes 20–21; Isaías 1–2</t>
  </si>
  <si>
    <t>06-09</t>
  </si>
  <si>
    <t xml:space="preserve"> 2 Reyes 22; Isaías 3–4</t>
  </si>
  <si>
    <t>06-10</t>
  </si>
  <si>
    <t xml:space="preserve"> 2 Reyes 23; Isaías 5–6</t>
  </si>
  <si>
    <t>06-11</t>
  </si>
  <si>
    <t xml:space="preserve"> 2 Reyes 24; Isaías 7–8</t>
  </si>
  <si>
    <t>06-12</t>
  </si>
  <si>
    <t xml:space="preserve"> 2 Reyes 25; Isaías 9–10</t>
  </si>
  <si>
    <t>06-13</t>
  </si>
  <si>
    <t xml:space="preserve"> Isaías 11–13</t>
  </si>
  <si>
    <t>06-14</t>
  </si>
  <si>
    <t xml:space="preserve"> Isaías 14–16</t>
  </si>
  <si>
    <t>06-15</t>
  </si>
  <si>
    <t xml:space="preserve"> Isaías 17–19</t>
  </si>
  <si>
    <t>06-16</t>
  </si>
  <si>
    <t xml:space="preserve"> Isaías 20–22</t>
  </si>
  <si>
    <t>06-17</t>
  </si>
  <si>
    <t xml:space="preserve"> Isaías 23–27</t>
  </si>
  <si>
    <t>06-18</t>
  </si>
  <si>
    <t xml:space="preserve"> Isaías 28–31</t>
  </si>
  <si>
    <t>06-19</t>
  </si>
  <si>
    <t xml:space="preserve"> Isaías 32–35</t>
  </si>
  <si>
    <t>06-20</t>
  </si>
  <si>
    <t xml:space="preserve"> Isaías 36–37; Salmo 47</t>
  </si>
  <si>
    <t>06-21</t>
  </si>
  <si>
    <t xml:space="preserve"> 1 Crónicas 1; Oseas 1–2</t>
  </si>
  <si>
    <t>06-22</t>
  </si>
  <si>
    <t xml:space="preserve"> 1 Crónicas 2; Oseas 3–4</t>
  </si>
  <si>
    <t>06-23</t>
  </si>
  <si>
    <t xml:space="preserve"> 1 Crónicas 3; Oseas 5–6</t>
  </si>
  <si>
    <t>06-24</t>
  </si>
  <si>
    <t xml:space="preserve"> 1 Crónicas 4; Oseas 7–10</t>
  </si>
  <si>
    <t>06-25</t>
  </si>
  <si>
    <t xml:space="preserve"> 1 Crónicas 5; Oseas 11–12</t>
  </si>
  <si>
    <t>06-26</t>
  </si>
  <si>
    <t xml:space="preserve"> 1 Crónicas 6; Oseas 13–14</t>
  </si>
  <si>
    <t>06-27</t>
  </si>
  <si>
    <t xml:space="preserve"> 1 Crónicas 7; Amós 1–2</t>
  </si>
  <si>
    <t>06-28</t>
  </si>
  <si>
    <t xml:space="preserve"> 1 Crónicas 8; Amós 3–4</t>
  </si>
  <si>
    <t>06-29</t>
  </si>
  <si>
    <t xml:space="preserve"> 1 Crónicas 9; Amós 5–6</t>
  </si>
  <si>
    <t>06-30</t>
  </si>
  <si>
    <t xml:space="preserve"> 1 Crónicas 10; Amós 7–9</t>
  </si>
  <si>
    <t>07-01</t>
  </si>
  <si>
    <t xml:space="preserve"> 1 Crónicas 11; Jonás 1–2</t>
  </si>
  <si>
    <t>07-02</t>
  </si>
  <si>
    <t xml:space="preserve"> 1 Crónicas 12; Jonás 3–4</t>
  </si>
  <si>
    <t>07-03</t>
  </si>
  <si>
    <t xml:space="preserve"> 1 Crónicas 13; Isaías 38–39</t>
  </si>
  <si>
    <t>07-04</t>
  </si>
  <si>
    <t xml:space="preserve"> 1 Crónicas 14; Isaías 40–41</t>
  </si>
  <si>
    <t>07-05</t>
  </si>
  <si>
    <t xml:space="preserve"> 1 Crónicas 15; Isaías 42–43</t>
  </si>
  <si>
    <t>07-06</t>
  </si>
  <si>
    <t xml:space="preserve"> 1 Crónicas 16; Isaías 44–45</t>
  </si>
  <si>
    <t>07-07</t>
  </si>
  <si>
    <t xml:space="preserve"> 1 Crónicas 17; Isaías 46–48</t>
  </si>
  <si>
    <t>07-08</t>
  </si>
  <si>
    <t xml:space="preserve"> 1 Crónicas 18; Isaías 49–51</t>
  </si>
  <si>
    <t>07-09</t>
  </si>
  <si>
    <t xml:space="preserve"> 1 Crónicas 19; Isaías 52–53</t>
  </si>
  <si>
    <t>07-10</t>
  </si>
  <si>
    <t xml:space="preserve"> 1 Crónicas 20; Isaías 54–55</t>
  </si>
  <si>
    <t>07-11</t>
  </si>
  <si>
    <t xml:space="preserve"> 1 Crónicas 21; Isaías 56–57</t>
  </si>
  <si>
    <t>07-12</t>
  </si>
  <si>
    <t xml:space="preserve"> 1 Crónicas 22; Isaías 58–59</t>
  </si>
  <si>
    <t>07-13</t>
  </si>
  <si>
    <t xml:space="preserve"> 1 Crónicas 23; Isaías 60–61</t>
  </si>
  <si>
    <t>07-14</t>
  </si>
  <si>
    <t xml:space="preserve"> 1 Crónicas 24; Isaías 62–63</t>
  </si>
  <si>
    <t>07-15</t>
  </si>
  <si>
    <t xml:space="preserve"> 1 Crónicas 25; Isaías 64–66</t>
  </si>
  <si>
    <t>07-16</t>
  </si>
  <si>
    <t xml:space="preserve"> 1 Crónicas 26–27; Nahúm 1–3</t>
  </si>
  <si>
    <t>07-17</t>
  </si>
  <si>
    <t xml:space="preserve"> 1 Crónicas 28; Habacuc 1–3</t>
  </si>
  <si>
    <t>07-18</t>
  </si>
  <si>
    <t xml:space="preserve"> 1 Crónicas 29; Zacarías 1–2</t>
  </si>
  <si>
    <t>07-19</t>
  </si>
  <si>
    <t xml:space="preserve"> 2 Crónicas 1; Zacarías 3</t>
  </si>
  <si>
    <t>07-20</t>
  </si>
  <si>
    <t xml:space="preserve"> 2 Crónicas 2; Zacarías 4</t>
  </si>
  <si>
    <t>07-21</t>
  </si>
  <si>
    <t xml:space="preserve"> 2 Crónicas 3; Zacarías 5–6</t>
  </si>
  <si>
    <t>07-22</t>
  </si>
  <si>
    <t xml:space="preserve"> 2 Crónicas 4; Zacarías 7–10</t>
  </si>
  <si>
    <t>07-23</t>
  </si>
  <si>
    <t xml:space="preserve"> 2 Crónicas 5; Zacarías 11–12</t>
  </si>
  <si>
    <t>07-24</t>
  </si>
  <si>
    <t xml:space="preserve"> 2 Crónicas 6; Zacarías 13–14</t>
  </si>
  <si>
    <t>07-25</t>
  </si>
  <si>
    <t xml:space="preserve"> 2 Crónicas 7; Malaquías 1–2</t>
  </si>
  <si>
    <t>07-26</t>
  </si>
  <si>
    <t xml:space="preserve"> 2 Crónicas 8; Malaquías 3–4</t>
  </si>
  <si>
    <t>07-27</t>
  </si>
  <si>
    <t xml:space="preserve"> 2 Crónicas 9; Hageo 1–2</t>
  </si>
  <si>
    <t>07-28</t>
  </si>
  <si>
    <t xml:space="preserve"> 2 Crónicas 10; Jeremías 1–3</t>
  </si>
  <si>
    <t>07-29</t>
  </si>
  <si>
    <t xml:space="preserve"> 2 Crónicas 11; Jeremías 4–6</t>
  </si>
  <si>
    <t>07-30</t>
  </si>
  <si>
    <t xml:space="preserve"> 2 Crónicas 12; Jeremías 7–8</t>
  </si>
  <si>
    <t>07-31</t>
  </si>
  <si>
    <t xml:space="preserve"> 2 Crónicas 13; Jeremías 9–10</t>
  </si>
  <si>
    <t>08-01</t>
  </si>
  <si>
    <t xml:space="preserve"> 2 Crónicas 14; Jeremías 11–12</t>
  </si>
  <si>
    <t>08-02</t>
  </si>
  <si>
    <t xml:space="preserve"> 2 Crónicas 15; Jeremías 13–14</t>
  </si>
  <si>
    <t>08-03</t>
  </si>
  <si>
    <t xml:space="preserve"> 2 Crónicas 16; Jeremías 15–16</t>
  </si>
  <si>
    <t>08-04</t>
  </si>
  <si>
    <t xml:space="preserve"> 2 Crónicas 17; Jeremías 17–19</t>
  </si>
  <si>
    <t>08-05</t>
  </si>
  <si>
    <t xml:space="preserve"> 2 Crónicas 18; Jeremías 20–22</t>
  </si>
  <si>
    <t>08-06</t>
  </si>
  <si>
    <t xml:space="preserve"> 2 Crónicas 19; Jeremías 23–24</t>
  </si>
  <si>
    <t>08-07</t>
  </si>
  <si>
    <t xml:space="preserve"> 2 Crónicas 20; Jeremías 25–26</t>
  </si>
  <si>
    <t>08-08</t>
  </si>
  <si>
    <t xml:space="preserve"> 2 Crónicas 21; Jeremías 27–28</t>
  </si>
  <si>
    <t>08-09</t>
  </si>
  <si>
    <t xml:space="preserve"> 2 Crónicas 22; Jeremías 29–30</t>
  </si>
  <si>
    <t>08-10</t>
  </si>
  <si>
    <t xml:space="preserve"> 2 Crónicas 23; Jeremías 31–32</t>
  </si>
  <si>
    <t>08-11</t>
  </si>
  <si>
    <t xml:space="preserve"> 2 Crónicas 24; Jeremías 33–34</t>
  </si>
  <si>
    <t>08-12</t>
  </si>
  <si>
    <t xml:space="preserve"> 2 Crónicas 25; Jeremías 35–37</t>
  </si>
  <si>
    <t>08-13</t>
  </si>
  <si>
    <t xml:space="preserve"> 2 Crónicas 26; Jeremías 38–39</t>
  </si>
  <si>
    <t>08-14</t>
  </si>
  <si>
    <t xml:space="preserve"> 2 Crónicas 27; Jeremías 40–42</t>
  </si>
  <si>
    <t>08-15</t>
  </si>
  <si>
    <t xml:space="preserve"> 2 Crónicas 28; Jeremías 43–44</t>
  </si>
  <si>
    <t>08-16</t>
  </si>
  <si>
    <t xml:space="preserve"> 2 Crónicas 29; Jeremías 45–46</t>
  </si>
  <si>
    <t>08-17</t>
  </si>
  <si>
    <t xml:space="preserve"> 2 Crónicas 30; Jeremías 47–48</t>
  </si>
  <si>
    <t>08-18</t>
  </si>
  <si>
    <t xml:space="preserve"> 2 Crónicas 31; Jeremías 49–50</t>
  </si>
  <si>
    <t>08-19</t>
  </si>
  <si>
    <t xml:space="preserve"> 2 Crónicas 32; Jeremías 51–52</t>
  </si>
  <si>
    <t>08-20</t>
  </si>
  <si>
    <t xml:space="preserve"> 2 Crónicas 33; Lamentaciones 1–3</t>
  </si>
  <si>
    <t>08-21</t>
  </si>
  <si>
    <t xml:space="preserve"> 2 Crónicas 34; Ezequiel 1–2</t>
  </si>
  <si>
    <t>08-22</t>
  </si>
  <si>
    <t xml:space="preserve"> 2 Crónicas 35; Ezequiel 3–4</t>
  </si>
  <si>
    <t>08-23</t>
  </si>
  <si>
    <t xml:space="preserve"> 2 Crónicas 36; Ezequiel 5–6</t>
  </si>
  <si>
    <t>08-24</t>
  </si>
  <si>
    <t xml:space="preserve"> Ezequiel 7–9; Lamentaciones 4–5</t>
  </si>
  <si>
    <t>08-25</t>
  </si>
  <si>
    <t xml:space="preserve"> Ezequiel 10–13</t>
  </si>
  <si>
    <t>08-26</t>
  </si>
  <si>
    <t xml:space="preserve"> Ezequiel 14–16</t>
  </si>
  <si>
    <t>08-27</t>
  </si>
  <si>
    <t xml:space="preserve"> Ezequiel 17–19</t>
  </si>
  <si>
    <t>08-28</t>
  </si>
  <si>
    <t xml:space="preserve"> Ezequiel 20–22</t>
  </si>
  <si>
    <t>08-29</t>
  </si>
  <si>
    <t xml:space="preserve"> Ezequiel 23–25</t>
  </si>
  <si>
    <t>08-30</t>
  </si>
  <si>
    <t xml:space="preserve"> Ezequiel 26–29</t>
  </si>
  <si>
    <t>08-31</t>
  </si>
  <si>
    <t xml:space="preserve"> Ezequiel 30–32</t>
  </si>
  <si>
    <t>09-01</t>
  </si>
  <si>
    <t xml:space="preserve"> Ezequiel 33–35</t>
  </si>
  <si>
    <t>09-02</t>
  </si>
  <si>
    <t xml:space="preserve"> Ezequiel 36–40</t>
  </si>
  <si>
    <t>09-03</t>
  </si>
  <si>
    <t xml:space="preserve"> Ezequiel 41–43</t>
  </si>
  <si>
    <t>09-04</t>
  </si>
  <si>
    <t xml:space="preserve"> Ezequiel 44–46</t>
  </si>
  <si>
    <t>09-05</t>
  </si>
  <si>
    <t xml:space="preserve"> Ezequiel 47–48; Daniel 1</t>
  </si>
  <si>
    <t>09-06</t>
  </si>
  <si>
    <t xml:space="preserve"> Daniel 2–4</t>
  </si>
  <si>
    <t>09-07</t>
  </si>
  <si>
    <t xml:space="preserve"> Daniel 5–7</t>
  </si>
  <si>
    <t>09-08</t>
  </si>
  <si>
    <t xml:space="preserve"> Daniel 8–10</t>
  </si>
  <si>
    <t>09-09</t>
  </si>
  <si>
    <t xml:space="preserve"> Daniel 11–12; Ester 1–3</t>
  </si>
  <si>
    <t>09-10</t>
  </si>
  <si>
    <t xml:space="preserve"> Ester 4–6</t>
  </si>
  <si>
    <t>09-11</t>
  </si>
  <si>
    <t xml:space="preserve"> Ester 7–10</t>
  </si>
  <si>
    <t>09-12</t>
  </si>
  <si>
    <t xml:space="preserve"> Esdras 1–3</t>
  </si>
  <si>
    <t>09-13</t>
  </si>
  <si>
    <t xml:space="preserve"> Esdras 4–6</t>
  </si>
  <si>
    <t>09-14</t>
  </si>
  <si>
    <t xml:space="preserve"> Esdras 7–9</t>
  </si>
  <si>
    <t>09-15</t>
  </si>
  <si>
    <t xml:space="preserve"> Esdras 10; Nehemías 1–2</t>
  </si>
  <si>
    <t>09-16</t>
  </si>
  <si>
    <t xml:space="preserve"> Nehemías 3–7</t>
  </si>
  <si>
    <t>09-17</t>
  </si>
  <si>
    <t xml:space="preserve"> Nehemías 8–10</t>
  </si>
  <si>
    <t>09-18</t>
  </si>
  <si>
    <t xml:space="preserve"> Nehemías 11–13</t>
  </si>
  <si>
    <t>09-19</t>
  </si>
  <si>
    <t xml:space="preserve"> Cantares 1–3</t>
  </si>
  <si>
    <t>09-20</t>
  </si>
  <si>
    <t xml:space="preserve"> Cantares 4–6</t>
  </si>
  <si>
    <t>09-21</t>
  </si>
  <si>
    <t xml:space="preserve"> Cantares 7–8</t>
  </si>
  <si>
    <t>09-22</t>
  </si>
  <si>
    <t xml:space="preserve"> Eclesiastés 1–3</t>
  </si>
  <si>
    <t>09-23</t>
  </si>
  <si>
    <t xml:space="preserve"> Eclesiastés 4–8</t>
  </si>
  <si>
    <t>09-24</t>
  </si>
  <si>
    <t xml:space="preserve"> Eclesiastés 9–12</t>
  </si>
  <si>
    <t>09-25</t>
  </si>
  <si>
    <t xml:space="preserve"> Marcos 1; Job 1–2</t>
  </si>
  <si>
    <t>09-26</t>
  </si>
  <si>
    <t xml:space="preserve"> Marcos 2; Job 3–4</t>
  </si>
  <si>
    <t>09-27</t>
  </si>
  <si>
    <t xml:space="preserve"> Marcos 3; Job 5–6</t>
  </si>
  <si>
    <t>09-28</t>
  </si>
  <si>
    <t xml:space="preserve"> Marcos 4; Job 7–9</t>
  </si>
  <si>
    <t>09-29</t>
  </si>
  <si>
    <t xml:space="preserve"> Marcos 5–6; Job 10–13</t>
  </si>
  <si>
    <t>09-30</t>
  </si>
  <si>
    <t xml:space="preserve"> Marcos 7; Job 14–16</t>
  </si>
  <si>
    <t>10-01</t>
  </si>
  <si>
    <t xml:space="preserve"> Marcos 8; Job 17–18</t>
  </si>
  <si>
    <t>10-02</t>
  </si>
  <si>
    <t xml:space="preserve"> Marcos 9; Job 19–20</t>
  </si>
  <si>
    <t>10-03</t>
  </si>
  <si>
    <t xml:space="preserve"> Marcos 10; Job 21–22</t>
  </si>
  <si>
    <t>10-04</t>
  </si>
  <si>
    <t xml:space="preserve"> Marcos 11; Job 23–24</t>
  </si>
  <si>
    <t>10-05</t>
  </si>
  <si>
    <t xml:space="preserve"> Marcos 12; Job 25–26</t>
  </si>
  <si>
    <t>10-06</t>
  </si>
  <si>
    <t xml:space="preserve"> Marcos 13; Job 27–28</t>
  </si>
  <si>
    <t>10-07</t>
  </si>
  <si>
    <t xml:space="preserve"> Marcos 14; Job 29–30</t>
  </si>
  <si>
    <t>10-08</t>
  </si>
  <si>
    <t xml:space="preserve"> Marcos 15; Job 31–32</t>
  </si>
  <si>
    <t>10-09</t>
  </si>
  <si>
    <t xml:space="preserve"> Marcos 16; Job 33–34</t>
  </si>
  <si>
    <t>10-10</t>
  </si>
  <si>
    <t xml:space="preserve"> Job 35–37</t>
  </si>
  <si>
    <t>10-11</t>
  </si>
  <si>
    <t xml:space="preserve"> Job 38–40</t>
  </si>
  <si>
    <t>10-12</t>
  </si>
  <si>
    <t xml:space="preserve"> Job 41–42; 1 Corintios 1–3</t>
  </si>
  <si>
    <t>10-13</t>
  </si>
  <si>
    <t xml:space="preserve"> 1 Corintios 4–8</t>
  </si>
  <si>
    <t>10-14</t>
  </si>
  <si>
    <t xml:space="preserve"> 1 Corintios 9–11</t>
  </si>
  <si>
    <t>10-15</t>
  </si>
  <si>
    <t xml:space="preserve"> 1 Corintios 12–14</t>
  </si>
  <si>
    <t>10-16</t>
  </si>
  <si>
    <t xml:space="preserve"> 1 Corintios 15–16; Salmo 48</t>
  </si>
  <si>
    <t>10-17</t>
  </si>
  <si>
    <t xml:space="preserve"> 2 Corintios 1; Salmo 49–50</t>
  </si>
  <si>
    <t>10-18</t>
  </si>
  <si>
    <t xml:space="preserve"> 2 Corintios 2; Salmo 51–52</t>
  </si>
  <si>
    <t>10-19</t>
  </si>
  <si>
    <t xml:space="preserve"> 2 Corintios 3; Salmo 53–54</t>
  </si>
  <si>
    <t>10-20</t>
  </si>
  <si>
    <t xml:space="preserve"> 2 Corintios 4; Salmo 55–58</t>
  </si>
  <si>
    <t>10-21</t>
  </si>
  <si>
    <t xml:space="preserve"> 2 Corintios 5; Salmo 59–60</t>
  </si>
  <si>
    <t>10-22</t>
  </si>
  <si>
    <t xml:space="preserve"> 2 Corintios 6; Salmo 61–62</t>
  </si>
  <si>
    <t>10-23</t>
  </si>
  <si>
    <t xml:space="preserve"> 2 Corintios 7; Salmo 63–64</t>
  </si>
  <si>
    <t>10-24</t>
  </si>
  <si>
    <t xml:space="preserve"> 2 Corintios 8; Salmo 65–66</t>
  </si>
  <si>
    <t>10-25</t>
  </si>
  <si>
    <t xml:space="preserve"> 2 Corintios 9; Salmo 67–68</t>
  </si>
  <si>
    <t>10-26</t>
  </si>
  <si>
    <t xml:space="preserve"> 2 Corintios 10; Salmo 69–70</t>
  </si>
  <si>
    <t>10-27</t>
  </si>
  <si>
    <t xml:space="preserve"> 2 Corintios 11; Salmo 71–72</t>
  </si>
  <si>
    <t>10-28</t>
  </si>
  <si>
    <t xml:space="preserve"> 2 Corintios 12; Salmo 73–74</t>
  </si>
  <si>
    <t>10-29</t>
  </si>
  <si>
    <t xml:space="preserve"> 2 Corintios 13; Salmo 75–76</t>
  </si>
  <si>
    <t>10-30</t>
  </si>
  <si>
    <t xml:space="preserve"> 1 Pedro 1; Salmo 77–78</t>
  </si>
  <si>
    <t>10-31</t>
  </si>
  <si>
    <t xml:space="preserve"> 1 Pedro 2; Salmo 79–80</t>
  </si>
  <si>
    <t>11-01</t>
  </si>
  <si>
    <t xml:space="preserve"> 1 Pedro 3; Salmo 81–82</t>
  </si>
  <si>
    <t>11-02</t>
  </si>
  <si>
    <t xml:space="preserve"> 1 Pedro 4; Salmo 83–84</t>
  </si>
  <si>
    <t>11-03</t>
  </si>
  <si>
    <t xml:space="preserve"> 1 Pedro 5; 2 Pedro 1–3; Salmo 85</t>
  </si>
  <si>
    <t>11-04</t>
  </si>
  <si>
    <t xml:space="preserve"> Gálatas 1; Salmo 86–87</t>
  </si>
  <si>
    <t>11-05</t>
  </si>
  <si>
    <t xml:space="preserve"> Gálatas 2; Salmo 88–89</t>
  </si>
  <si>
    <t>11-06</t>
  </si>
  <si>
    <t xml:space="preserve"> Gálatas 3; Salmo 90–91</t>
  </si>
  <si>
    <t>11-07</t>
  </si>
  <si>
    <t xml:space="preserve"> Gálatas 4; Salmo 92–93</t>
  </si>
  <si>
    <t>11-08</t>
  </si>
  <si>
    <t xml:space="preserve"> Gálatas 5; Salmo 94–95</t>
  </si>
  <si>
    <t>11-09</t>
  </si>
  <si>
    <t xml:space="preserve"> Gálatas 6; Salmo 96–97</t>
  </si>
  <si>
    <t>11-10</t>
  </si>
  <si>
    <t xml:space="preserve"> Efesios 1–2; Salmo 98–100</t>
  </si>
  <si>
    <t>11-11</t>
  </si>
  <si>
    <t xml:space="preserve"> Efesios 3; Salmo 101–102</t>
  </si>
  <si>
    <t>11-12</t>
  </si>
  <si>
    <t xml:space="preserve"> Efesios 4; Salmo 103–104</t>
  </si>
  <si>
    <t>11-13</t>
  </si>
  <si>
    <t xml:space="preserve"> Efesios 5; Salmo 105–106</t>
  </si>
  <si>
    <t>11-14</t>
  </si>
  <si>
    <t xml:space="preserve"> Efesios 6; Salmo 107–108</t>
  </si>
  <si>
    <t>11-15</t>
  </si>
  <si>
    <t xml:space="preserve"> Filipenses 1; Salmo 109–110</t>
  </si>
  <si>
    <t>11-16</t>
  </si>
  <si>
    <t xml:space="preserve"> Filipenses 2; Salmo 111–112</t>
  </si>
  <si>
    <t>11-17</t>
  </si>
  <si>
    <t xml:space="preserve"> Filipenses 3–4; Colosenses 1–2; Salmo 113</t>
  </si>
  <si>
    <t>11-18</t>
  </si>
  <si>
    <t xml:space="preserve"> Colosenses 3; Salmo 114–115</t>
  </si>
  <si>
    <t>11-19</t>
  </si>
  <si>
    <t xml:space="preserve"> Colosenses 4; Salmo 116–117</t>
  </si>
  <si>
    <t>11-20</t>
  </si>
  <si>
    <t xml:space="preserve"> 1 Tesalonicenses 1–2; Salmo 118</t>
  </si>
  <si>
    <t>11-21</t>
  </si>
  <si>
    <t xml:space="preserve"> 1 Tesalonicenses 3; Salmo 119:1–48</t>
  </si>
  <si>
    <t>11-22</t>
  </si>
  <si>
    <t xml:space="preserve"> 1 Tesalonicenses 4; Salmo 119:49–112</t>
  </si>
  <si>
    <t>11-23</t>
  </si>
  <si>
    <t xml:space="preserve"> 1 Tesalonicenses 5; Salmo 119:113–176</t>
  </si>
  <si>
    <t>11-24</t>
  </si>
  <si>
    <t xml:space="preserve"> 2 Tesalonicenses 1–3; Salmo 120</t>
  </si>
  <si>
    <t>11-25</t>
  </si>
  <si>
    <t xml:space="preserve"> Santiago 1; Salmo 121–122</t>
  </si>
  <si>
    <t>11-26</t>
  </si>
  <si>
    <t xml:space="preserve"> Santiago 2; Salmo 123–124</t>
  </si>
  <si>
    <t>11-27</t>
  </si>
  <si>
    <t xml:space="preserve"> Santiago 3; Salmo 125–126</t>
  </si>
  <si>
    <t>11-28</t>
  </si>
  <si>
    <t xml:space="preserve"> Santiago 4; Salmo 127–128</t>
  </si>
  <si>
    <t>11-29</t>
  </si>
  <si>
    <t xml:space="preserve"> Santiago 5; Salmo 129–130</t>
  </si>
  <si>
    <t>11-30</t>
  </si>
  <si>
    <t xml:space="preserve"> Filemón; Salmo 131–132</t>
  </si>
  <si>
    <t>12-01</t>
  </si>
  <si>
    <t xml:space="preserve"> 1 Timoteo 1–3; Salmo 133–134</t>
  </si>
  <si>
    <t>12-02</t>
  </si>
  <si>
    <t xml:space="preserve"> 1 Timoteo 4; Salmo 135–136</t>
  </si>
  <si>
    <t>12-03</t>
  </si>
  <si>
    <t xml:space="preserve"> 1 Timoteo 5; Salmo 137–138</t>
  </si>
  <si>
    <t>12-04</t>
  </si>
  <si>
    <t xml:space="preserve"> 1 Timoteo 6; Salmo 139–140</t>
  </si>
  <si>
    <t>12-05</t>
  </si>
  <si>
    <t xml:space="preserve"> 2 Timoteo 1; Salmo 141–142</t>
  </si>
  <si>
    <t>12-06</t>
  </si>
  <si>
    <t xml:space="preserve"> 2 Timoteo 2; Salmo 143–144</t>
  </si>
  <si>
    <t>12-07</t>
  </si>
  <si>
    <t xml:space="preserve"> 2 Timoteo 3–4; Salmo 145</t>
  </si>
  <si>
    <t>12-08</t>
  </si>
  <si>
    <t xml:space="preserve"> Tito 1–3; Salmo 146–147</t>
  </si>
  <si>
    <t>12-09</t>
  </si>
  <si>
    <t xml:space="preserve"> 1 Juan 1–2; Salmo 148</t>
  </si>
  <si>
    <t>12-10</t>
  </si>
  <si>
    <t xml:space="preserve"> 1 Juan 3–4; Salmo 149</t>
  </si>
  <si>
    <t>12-11</t>
  </si>
  <si>
    <t xml:space="preserve"> 1 Juan 5; 2 Juan; Salmo 150</t>
  </si>
  <si>
    <t>12-12</t>
  </si>
  <si>
    <t xml:space="preserve"> 3 Juan; Judas; Lucas 1</t>
  </si>
  <si>
    <t>12-13</t>
  </si>
  <si>
    <t xml:space="preserve"> Lucas 2–3; Apocalipsis 1</t>
  </si>
  <si>
    <t>12-14</t>
  </si>
  <si>
    <t xml:space="preserve"> Lucas 4; Apocalipsis 2–3</t>
  </si>
  <si>
    <t>12-15</t>
  </si>
  <si>
    <t xml:space="preserve"> Lucas 5–7; Apocalipsis 4–5</t>
  </si>
  <si>
    <t>12-16</t>
  </si>
  <si>
    <t xml:space="preserve"> Lucas 8–9; Apocalipsis 6</t>
  </si>
  <si>
    <t>12-17</t>
  </si>
  <si>
    <t xml:space="preserve"> Lucas 10–11; Apocalipsis 7</t>
  </si>
  <si>
    <t>12-18</t>
  </si>
  <si>
    <t xml:space="preserve"> Lucas 12; Apocalipsis 8–9</t>
  </si>
  <si>
    <t>12-19</t>
  </si>
  <si>
    <t xml:space="preserve"> Lucas 13–14; Apocalipsis 10</t>
  </si>
  <si>
    <t>12-20</t>
  </si>
  <si>
    <t xml:space="preserve"> Lucas 15–16; Apocalipsis 11</t>
  </si>
  <si>
    <t>12-21</t>
  </si>
  <si>
    <t xml:space="preserve"> Lucas 17–18; Apocalipsis 12</t>
  </si>
  <si>
    <t>12-22</t>
  </si>
  <si>
    <t xml:space="preserve"> Lucas 19; Apocalipsis 13–14</t>
  </si>
  <si>
    <t>12-23</t>
  </si>
  <si>
    <t xml:space="preserve"> Lucas 20; Apocalipsis 15</t>
  </si>
  <si>
    <t>12-24</t>
  </si>
  <si>
    <t xml:space="preserve"> Lucas 21; Apocalipsis 16</t>
  </si>
  <si>
    <t>12-25</t>
  </si>
  <si>
    <t xml:space="preserve"> Lucas 22; Apocalipsis 17</t>
  </si>
  <si>
    <t>12-26</t>
  </si>
  <si>
    <t xml:space="preserve"> Lucas 23; Apocalipsis 18</t>
  </si>
  <si>
    <t>12-27</t>
  </si>
  <si>
    <t xml:space="preserve"> Lucas 24; Apocalipsis 19</t>
  </si>
  <si>
    <t>12-28</t>
  </si>
  <si>
    <t xml:space="preserve"> Apocalipsis 20</t>
  </si>
  <si>
    <t>12-29</t>
  </si>
  <si>
    <t xml:space="preserve"> Apocalipsis 21</t>
  </si>
  <si>
    <t>12-30</t>
  </si>
  <si>
    <t xml:space="preserve"> Apocalipsis 22</t>
  </si>
  <si>
    <t>12-31</t>
  </si>
  <si>
    <t>Enero</t>
  </si>
  <si>
    <t>Domingo</t>
  </si>
  <si>
    <t>Lunes</t>
  </si>
  <si>
    <t>Martes</t>
  </si>
  <si>
    <t>Miércoles</t>
  </si>
  <si>
    <t>Jueves</t>
  </si>
  <si>
    <t>Viernes</t>
  </si>
  <si>
    <t>Sábado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</si>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</sst>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FF"/>
      <name val="Calibri"/>
    </font>
    <font>
      <b/>
      <sz val="11.0"/>
      <color rgb="FF7E57C2"/>
      <name val="Calibri"/>
    </font>
    <font>
      <sz val="11.0"/>
      <color theme="1"/>
      <name val="Calibri"/>
    </font>
    <font>
      <color theme="1"/>
      <name val="Calibri"/>
      <scheme val="minor"/>
    </font>
    <font>
      <u/>
      <sz val="22.0"/>
      <color rgb="FF7E57C2"/>
      <name val="Calibri"/>
    </font>
    <font>
      <sz val="8.0"/>
      <color rgb="FF808080"/>
      <name val="Calibri"/>
    </font>
    <font>
      <u/>
      <sz val="22.0"/>
      <color rgb="FF7E57C2"/>
      <name val="Calibri"/>
    </font>
    <font/>
    <font>
      <sz val="12.0"/>
      <color theme="1"/>
      <name val="Calibri"/>
    </font>
    <font>
      <sz val="12.0"/>
      <color rgb="FF000000"/>
      <name val="Calibri"/>
    </font>
    <font>
      <u/>
      <sz val="11.0"/>
      <color rgb="FF1F4E79"/>
      <name val="Calibri"/>
    </font>
    <font>
      <u/>
      <sz val="11.0"/>
      <color rgb="FF1F4E79"/>
      <name val="Calibri"/>
    </font>
    <font>
      <u/>
      <sz val="11.0"/>
      <color rgb="FF1F4E79"/>
      <name val="Calibri"/>
    </font>
    <font>
      <u/>
      <sz val="11.0"/>
      <color rgb="FF1F4E79"/>
      <name val="Calibri"/>
    </font>
    <font>
      <u/>
      <sz val="11.0"/>
      <color rgb="FF1F4E79"/>
      <name val="Calibri"/>
    </font>
    <font>
      <u/>
      <sz val="11.0"/>
      <color rgb="FF1F4E79"/>
      <name val="Calibri"/>
    </font>
    <font>
      <u/>
      <sz val="11.0"/>
      <color rgb="FF1F4E79"/>
      <name val="Calibri"/>
    </font>
    <font>
      <u/>
      <sz val="22.0"/>
      <color rgb="FF7E57C2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4C2C2"/>
        <bgColor rgb="FFF4C2C2"/>
      </patternFill>
    </fill>
    <fill>
      <patternFill patternType="solid">
        <fgColor rgb="FFD9E1F2"/>
        <bgColor rgb="FFD9E1F2"/>
      </patternFill>
    </fill>
  </fills>
  <borders count="11">
    <border/>
    <border>
      <left/>
      <right/>
      <top/>
      <bottom/>
    </border>
    <border>
      <left style="medium">
        <color rgb="FF7E57C2"/>
      </left>
      <top style="medium">
        <color rgb="FF7E57C2"/>
      </top>
      <bottom style="thin">
        <color rgb="FF7E57C2"/>
      </bottom>
    </border>
    <border>
      <top style="medium">
        <color rgb="FF7E57C2"/>
      </top>
      <bottom style="thin">
        <color rgb="FF7E57C2"/>
      </bottom>
    </border>
    <border>
      <right style="thin">
        <color rgb="FF7E57C2"/>
      </right>
      <top style="medium">
        <color rgb="FF7E57C2"/>
      </top>
      <bottom style="thin">
        <color rgb="FF7E57C2"/>
      </bottom>
    </border>
    <border>
      <left style="medium">
        <color rgb="FF7E57C2"/>
      </left>
      <right style="thin">
        <color rgb="FF7E57C2"/>
      </right>
      <top style="thin">
        <color rgb="FF7E57C2"/>
      </top>
      <bottom style="thin">
        <color rgb="FF7E57C2"/>
      </bottom>
    </border>
    <border>
      <left style="thin">
        <color rgb="FF7E57C2"/>
      </left>
      <right style="thin">
        <color rgb="FF7E57C2"/>
      </right>
      <top style="thin">
        <color rgb="FF7E57C2"/>
      </top>
      <bottom style="thin">
        <color rgb="FF7E57C2"/>
      </bottom>
    </border>
    <border>
      <left style="thin">
        <color rgb="FF7E57C2"/>
      </left>
      <right style="medium">
        <color rgb="FF7E57C2"/>
      </right>
      <top style="thin">
        <color rgb="FF7E57C2"/>
      </top>
      <bottom style="thin">
        <color rgb="FF7E57C2"/>
      </bottom>
    </border>
    <border>
      <left style="medium">
        <color rgb="FF7E57C2"/>
      </left>
      <right style="thin">
        <color rgb="FF7E57C2"/>
      </right>
      <top style="thin">
        <color rgb="FF7E57C2"/>
      </top>
      <bottom style="medium">
        <color rgb="FF7E57C2"/>
      </bottom>
    </border>
    <border>
      <left style="thin">
        <color rgb="FF7E57C2"/>
      </left>
      <right style="thin">
        <color rgb="FF7E57C2"/>
      </right>
      <top style="thin">
        <color rgb="FF7E57C2"/>
      </top>
      <bottom style="medium">
        <color rgb="FF7E57C2"/>
      </bottom>
    </border>
    <border>
      <left style="thin">
        <color rgb="FF7E57C2"/>
      </left>
      <right style="medium">
        <color rgb="FF7E57C2"/>
      </right>
      <top style="thin">
        <color rgb="FF7E57C2"/>
      </top>
      <bottom style="medium">
        <color rgb="FF7E57C2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/>
    </xf>
    <xf borderId="0" fillId="0" fontId="5" numFmtId="0" xfId="0" applyFont="1"/>
    <xf borderId="0" fillId="0" fontId="4" numFmtId="49" xfId="0" applyFont="1" applyNumberFormat="1"/>
    <xf borderId="0" fillId="3" fontId="6" numFmtId="0" xfId="0" applyAlignment="1" applyFill="1" applyFont="1">
      <alignment horizontal="center" vertical="center"/>
    </xf>
    <xf borderId="0" fillId="3" fontId="5" numFmtId="0" xfId="0" applyFont="1"/>
    <xf borderId="0" fillId="3" fontId="7" numFmtId="0" xfId="0" applyFont="1"/>
    <xf borderId="2" fillId="4" fontId="8" numFmtId="0" xfId="0" applyAlignment="1" applyBorder="1" applyFill="1" applyFont="1">
      <alignment horizontal="center" vertical="center"/>
    </xf>
    <xf borderId="3" fillId="0" fontId="9" numFmtId="0" xfId="0" applyBorder="1" applyFont="1"/>
    <xf borderId="4" fillId="0" fontId="9" numFmtId="0" xfId="0" applyBorder="1" applyFont="1"/>
    <xf borderId="0" fillId="0" fontId="7" numFmtId="0" xfId="0" applyFont="1"/>
    <xf borderId="0" fillId="3" fontId="10" numFmtId="0" xfId="0" applyAlignment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6" fillId="2" fontId="10" numFmtId="0" xfId="0" applyAlignment="1" applyBorder="1" applyFont="1">
      <alignment horizontal="center" vertical="center"/>
    </xf>
    <xf borderId="7" fillId="2" fontId="10" numFmtId="0" xfId="0" applyAlignment="1" applyBorder="1" applyFont="1">
      <alignment horizontal="center" vertical="center"/>
    </xf>
    <xf borderId="0" fillId="0" fontId="7" numFmtId="14" xfId="0" applyFont="1" applyNumberFormat="1"/>
    <xf borderId="0" fillId="3" fontId="11" numFmtId="0" xfId="0" applyAlignment="1" applyFont="1">
      <alignment horizontal="right" shrinkToFit="0" vertical="top" wrapText="1"/>
    </xf>
    <xf borderId="5" fillId="5" fontId="11" numFmtId="0" xfId="0" applyAlignment="1" applyBorder="1" applyFill="1" applyFont="1">
      <alignment horizontal="right" shrinkToFit="0" vertical="top" wrapText="1"/>
    </xf>
    <xf borderId="6" fillId="6" fontId="11" numFmtId="0" xfId="0" applyAlignment="1" applyBorder="1" applyFill="1" applyFont="1">
      <alignment horizontal="right" shrinkToFit="0" vertical="top" wrapText="1"/>
    </xf>
    <xf borderId="7" fillId="5" fontId="11" numFmtId="0" xfId="0" applyAlignment="1" applyBorder="1" applyFont="1">
      <alignment horizontal="right" shrinkToFit="0" vertical="top" wrapText="1"/>
    </xf>
    <xf borderId="0" fillId="3" fontId="12" numFmtId="0" xfId="0" applyAlignment="1" applyFont="1">
      <alignment horizontal="center" shrinkToFit="0" vertical="top" wrapText="1"/>
    </xf>
    <xf borderId="5" fillId="5" fontId="13" numFmtId="0" xfId="0" applyAlignment="1" applyBorder="1" applyFont="1">
      <alignment horizontal="center" shrinkToFit="0" vertical="top" wrapText="1"/>
    </xf>
    <xf borderId="6" fillId="6" fontId="14" numFmtId="0" xfId="0" applyAlignment="1" applyBorder="1" applyFont="1">
      <alignment horizontal="center" shrinkToFit="0" vertical="top" wrapText="1"/>
    </xf>
    <xf borderId="7" fillId="5" fontId="15" numFmtId="0" xfId="0" applyAlignment="1" applyBorder="1" applyFont="1">
      <alignment horizontal="center" shrinkToFit="0" vertical="top" wrapText="1"/>
    </xf>
    <xf borderId="8" fillId="5" fontId="16" numFmtId="0" xfId="0" applyAlignment="1" applyBorder="1" applyFont="1">
      <alignment horizontal="center" shrinkToFit="0" vertical="top" wrapText="1"/>
    </xf>
    <xf borderId="9" fillId="6" fontId="17" numFmtId="0" xfId="0" applyAlignment="1" applyBorder="1" applyFont="1">
      <alignment horizontal="center" shrinkToFit="0" vertical="top" wrapText="1"/>
    </xf>
    <xf borderId="10" fillId="5" fontId="18" numFmtId="0" xfId="0" applyAlignment="1" applyBorder="1" applyFont="1">
      <alignment horizontal="center" shrinkToFit="0" vertical="top" wrapText="1"/>
    </xf>
    <xf borderId="0" fillId="4" fontId="1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5.0"/>
    <col customWidth="1" min="2" max="2" width="18.0"/>
    <col customWidth="1" min="3" max="26" width="9.14"/>
  </cols>
  <sheetData>
    <row r="1">
      <c r="A1" s="1" t="s">
        <v>0</v>
      </c>
      <c r="B1" s="2">
        <v>2026.0</v>
      </c>
    </row>
    <row r="3">
      <c r="A3" s="3" t="s">
        <v>1</v>
      </c>
    </row>
    <row r="4">
      <c r="A4" s="4" t="s">
        <v>2</v>
      </c>
    </row>
    <row r="5">
      <c r="A5" s="4" t="s">
        <v>3</v>
      </c>
    </row>
    <row r="6">
      <c r="A6" s="4" t="s">
        <v>4</v>
      </c>
    </row>
    <row r="7">
      <c r="A7" s="4" t="s">
        <v>5</v>
      </c>
    </row>
    <row r="8">
      <c r="A8" s="4" t="s">
        <v>6</v>
      </c>
    </row>
    <row r="9">
      <c r="A9" s="4" t="s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60.0"/>
    <col customWidth="1" min="3" max="3" width="10.0"/>
    <col customWidth="1" min="4" max="26" width="9.14"/>
  </cols>
  <sheetData>
    <row r="1">
      <c r="A1" s="5" t="s">
        <v>8</v>
      </c>
      <c r="B1" s="5" t="s">
        <v>9</v>
      </c>
      <c r="C1" s="5" t="s">
        <v>8</v>
      </c>
    </row>
    <row r="2">
      <c r="A2" s="6" t="str">
        <f t="shared" ref="A2:A366" si="1">TRIM(C2)</f>
        <v>01-01</v>
      </c>
      <c r="B2" s="4" t="s">
        <v>10</v>
      </c>
      <c r="C2" s="6" t="s">
        <v>11</v>
      </c>
    </row>
    <row r="3">
      <c r="A3" s="6" t="str">
        <f t="shared" si="1"/>
        <v>01-02</v>
      </c>
      <c r="B3" s="4" t="s">
        <v>12</v>
      </c>
      <c r="C3" s="6" t="s">
        <v>13</v>
      </c>
    </row>
    <row r="4">
      <c r="A4" s="6" t="str">
        <f t="shared" si="1"/>
        <v>01-03</v>
      </c>
      <c r="B4" s="4" t="s">
        <v>14</v>
      </c>
      <c r="C4" s="6" t="s">
        <v>15</v>
      </c>
    </row>
    <row r="5">
      <c r="A5" s="6" t="str">
        <f t="shared" si="1"/>
        <v>01-04</v>
      </c>
      <c r="B5" s="4" t="s">
        <v>16</v>
      </c>
      <c r="C5" s="6" t="s">
        <v>17</v>
      </c>
    </row>
    <row r="6">
      <c r="A6" s="6" t="str">
        <f t="shared" si="1"/>
        <v>01-05</v>
      </c>
      <c r="B6" s="4" t="s">
        <v>18</v>
      </c>
      <c r="C6" s="6" t="s">
        <v>19</v>
      </c>
    </row>
    <row r="7">
      <c r="A7" s="6" t="str">
        <f t="shared" si="1"/>
        <v>01-06</v>
      </c>
      <c r="B7" s="4" t="s">
        <v>20</v>
      </c>
      <c r="C7" s="6" t="s">
        <v>21</v>
      </c>
    </row>
    <row r="8">
      <c r="A8" s="6" t="str">
        <f t="shared" si="1"/>
        <v>01-07</v>
      </c>
      <c r="B8" s="4" t="s">
        <v>22</v>
      </c>
      <c r="C8" s="6" t="s">
        <v>23</v>
      </c>
    </row>
    <row r="9">
      <c r="A9" s="6" t="str">
        <f t="shared" si="1"/>
        <v>01-08</v>
      </c>
      <c r="B9" s="4" t="s">
        <v>24</v>
      </c>
      <c r="C9" s="6" t="s">
        <v>25</v>
      </c>
    </row>
    <row r="10">
      <c r="A10" s="6" t="str">
        <f t="shared" si="1"/>
        <v>01-09</v>
      </c>
      <c r="B10" s="4" t="s">
        <v>26</v>
      </c>
      <c r="C10" s="6" t="s">
        <v>27</v>
      </c>
    </row>
    <row r="11">
      <c r="A11" s="6" t="str">
        <f t="shared" si="1"/>
        <v>01-10</v>
      </c>
      <c r="B11" s="4" t="s">
        <v>28</v>
      </c>
      <c r="C11" s="6" t="s">
        <v>29</v>
      </c>
    </row>
    <row r="12">
      <c r="A12" s="6" t="str">
        <f t="shared" si="1"/>
        <v>01-11</v>
      </c>
      <c r="B12" s="4" t="s">
        <v>30</v>
      </c>
      <c r="C12" s="6" t="s">
        <v>31</v>
      </c>
    </row>
    <row r="13">
      <c r="A13" s="6" t="str">
        <f t="shared" si="1"/>
        <v>01-12</v>
      </c>
      <c r="B13" s="4" t="s">
        <v>32</v>
      </c>
      <c r="C13" s="6" t="s">
        <v>33</v>
      </c>
    </row>
    <row r="14">
      <c r="A14" s="6" t="str">
        <f t="shared" si="1"/>
        <v>01-13</v>
      </c>
      <c r="B14" s="4" t="s">
        <v>34</v>
      </c>
      <c r="C14" s="6" t="s">
        <v>35</v>
      </c>
    </row>
    <row r="15">
      <c r="A15" s="6" t="str">
        <f t="shared" si="1"/>
        <v>01-14</v>
      </c>
      <c r="B15" s="4" t="s">
        <v>36</v>
      </c>
      <c r="C15" s="6" t="s">
        <v>37</v>
      </c>
    </row>
    <row r="16">
      <c r="A16" s="6" t="str">
        <f t="shared" si="1"/>
        <v>01-15</v>
      </c>
      <c r="B16" s="4" t="s">
        <v>38</v>
      </c>
      <c r="C16" s="6" t="s">
        <v>39</v>
      </c>
    </row>
    <row r="17">
      <c r="A17" s="6" t="str">
        <f t="shared" si="1"/>
        <v>01-16</v>
      </c>
      <c r="B17" s="4" t="s">
        <v>40</v>
      </c>
      <c r="C17" s="6" t="s">
        <v>41</v>
      </c>
    </row>
    <row r="18">
      <c r="A18" s="6" t="str">
        <f t="shared" si="1"/>
        <v>01-17</v>
      </c>
      <c r="B18" s="4" t="s">
        <v>42</v>
      </c>
      <c r="C18" s="6" t="s">
        <v>43</v>
      </c>
    </row>
    <row r="19">
      <c r="A19" s="6" t="str">
        <f t="shared" si="1"/>
        <v>01-18</v>
      </c>
      <c r="B19" s="4" t="s">
        <v>44</v>
      </c>
      <c r="C19" s="6" t="s">
        <v>45</v>
      </c>
    </row>
    <row r="20">
      <c r="A20" s="6" t="str">
        <f t="shared" si="1"/>
        <v>01-19</v>
      </c>
      <c r="B20" s="4" t="s">
        <v>46</v>
      </c>
      <c r="C20" s="6" t="s">
        <v>47</v>
      </c>
    </row>
    <row r="21" ht="15.75" customHeight="1">
      <c r="A21" s="6" t="str">
        <f t="shared" si="1"/>
        <v>01-20</v>
      </c>
      <c r="B21" s="4" t="s">
        <v>48</v>
      </c>
      <c r="C21" s="6" t="s">
        <v>49</v>
      </c>
    </row>
    <row r="22" ht="15.75" customHeight="1">
      <c r="A22" s="6" t="str">
        <f t="shared" si="1"/>
        <v>01-21</v>
      </c>
      <c r="B22" s="4" t="s">
        <v>50</v>
      </c>
      <c r="C22" s="6" t="s">
        <v>51</v>
      </c>
    </row>
    <row r="23" ht="15.75" customHeight="1">
      <c r="A23" s="6" t="str">
        <f t="shared" si="1"/>
        <v>01-22</v>
      </c>
      <c r="B23" s="4" t="s">
        <v>52</v>
      </c>
      <c r="C23" s="6" t="s">
        <v>53</v>
      </c>
    </row>
    <row r="24" ht="15.75" customHeight="1">
      <c r="A24" s="6" t="str">
        <f t="shared" si="1"/>
        <v>01-23</v>
      </c>
      <c r="B24" s="4" t="s">
        <v>54</v>
      </c>
      <c r="C24" s="6" t="s">
        <v>55</v>
      </c>
    </row>
    <row r="25" ht="15.75" customHeight="1">
      <c r="A25" s="6" t="str">
        <f t="shared" si="1"/>
        <v>01-24</v>
      </c>
      <c r="B25" s="4" t="s">
        <v>56</v>
      </c>
      <c r="C25" s="6" t="s">
        <v>57</v>
      </c>
    </row>
    <row r="26" ht="15.75" customHeight="1">
      <c r="A26" s="6" t="str">
        <f t="shared" si="1"/>
        <v>01-25</v>
      </c>
      <c r="B26" s="4" t="s">
        <v>58</v>
      </c>
      <c r="C26" s="6" t="s">
        <v>59</v>
      </c>
    </row>
    <row r="27" ht="15.75" customHeight="1">
      <c r="A27" s="6" t="str">
        <f t="shared" si="1"/>
        <v>01-26</v>
      </c>
      <c r="B27" s="4" t="s">
        <v>60</v>
      </c>
      <c r="C27" s="6" t="s">
        <v>61</v>
      </c>
    </row>
    <row r="28" ht="15.75" customHeight="1">
      <c r="A28" s="6" t="str">
        <f t="shared" si="1"/>
        <v>01-27</v>
      </c>
      <c r="B28" s="4" t="s">
        <v>62</v>
      </c>
      <c r="C28" s="6" t="s">
        <v>63</v>
      </c>
    </row>
    <row r="29" ht="15.75" customHeight="1">
      <c r="A29" s="6" t="str">
        <f t="shared" si="1"/>
        <v>01-28</v>
      </c>
      <c r="B29" s="4" t="s">
        <v>64</v>
      </c>
      <c r="C29" s="6" t="s">
        <v>65</v>
      </c>
    </row>
    <row r="30" ht="15.75" customHeight="1">
      <c r="A30" s="6" t="str">
        <f t="shared" si="1"/>
        <v>01-29</v>
      </c>
      <c r="B30" s="4" t="s">
        <v>66</v>
      </c>
      <c r="C30" s="6" t="s">
        <v>67</v>
      </c>
    </row>
    <row r="31" ht="15.75" customHeight="1">
      <c r="A31" s="6" t="str">
        <f t="shared" si="1"/>
        <v>01-30</v>
      </c>
      <c r="B31" s="4" t="s">
        <v>68</v>
      </c>
      <c r="C31" s="6" t="s">
        <v>69</v>
      </c>
    </row>
    <row r="32" ht="15.75" customHeight="1">
      <c r="A32" s="6" t="str">
        <f t="shared" si="1"/>
        <v>01-31</v>
      </c>
      <c r="B32" s="4" t="s">
        <v>70</v>
      </c>
      <c r="C32" s="6" t="s">
        <v>71</v>
      </c>
    </row>
    <row r="33" ht="15.75" customHeight="1">
      <c r="A33" s="6" t="str">
        <f t="shared" si="1"/>
        <v>02-01</v>
      </c>
      <c r="B33" s="4" t="s">
        <v>72</v>
      </c>
      <c r="C33" s="7" t="s">
        <v>73</v>
      </c>
    </row>
    <row r="34" ht="15.75" customHeight="1">
      <c r="A34" s="6" t="str">
        <f t="shared" si="1"/>
        <v>02-02</v>
      </c>
      <c r="B34" s="6" t="s">
        <v>74</v>
      </c>
      <c r="C34" s="7" t="s">
        <v>75</v>
      </c>
    </row>
    <row r="35" ht="15.75" customHeight="1">
      <c r="A35" s="6" t="str">
        <f t="shared" si="1"/>
        <v>02-03</v>
      </c>
      <c r="B35" s="6" t="s">
        <v>76</v>
      </c>
      <c r="C35" s="7" t="s">
        <v>77</v>
      </c>
    </row>
    <row r="36" ht="15.75" customHeight="1">
      <c r="A36" s="6" t="str">
        <f t="shared" si="1"/>
        <v>02-04</v>
      </c>
      <c r="B36" s="6" t="s">
        <v>78</v>
      </c>
      <c r="C36" s="7" t="s">
        <v>79</v>
      </c>
    </row>
    <row r="37" ht="15.75" customHeight="1">
      <c r="A37" s="6" t="str">
        <f t="shared" si="1"/>
        <v>02-05</v>
      </c>
      <c r="B37" s="6" t="s">
        <v>80</v>
      </c>
      <c r="C37" s="7" t="s">
        <v>81</v>
      </c>
    </row>
    <row r="38" ht="15.75" customHeight="1">
      <c r="A38" s="6" t="str">
        <f t="shared" si="1"/>
        <v>02-06</v>
      </c>
      <c r="B38" s="6" t="s">
        <v>82</v>
      </c>
      <c r="C38" s="7" t="s">
        <v>83</v>
      </c>
    </row>
    <row r="39" ht="15.75" customHeight="1">
      <c r="A39" s="6" t="str">
        <f t="shared" si="1"/>
        <v>02-07</v>
      </c>
      <c r="B39" s="6" t="s">
        <v>84</v>
      </c>
      <c r="C39" s="7" t="s">
        <v>85</v>
      </c>
    </row>
    <row r="40" ht="15.75" customHeight="1">
      <c r="A40" s="6" t="str">
        <f t="shared" si="1"/>
        <v>02-08</v>
      </c>
      <c r="B40" s="6" t="s">
        <v>86</v>
      </c>
      <c r="C40" s="7" t="s">
        <v>87</v>
      </c>
    </row>
    <row r="41" ht="15.75" customHeight="1">
      <c r="A41" s="6" t="str">
        <f t="shared" si="1"/>
        <v>02-09</v>
      </c>
      <c r="B41" s="6" t="s">
        <v>88</v>
      </c>
      <c r="C41" s="7" t="s">
        <v>89</v>
      </c>
    </row>
    <row r="42" ht="15.75" customHeight="1">
      <c r="A42" s="6" t="str">
        <f t="shared" si="1"/>
        <v>02-10</v>
      </c>
      <c r="B42" s="6" t="s">
        <v>90</v>
      </c>
      <c r="C42" s="7" t="s">
        <v>91</v>
      </c>
    </row>
    <row r="43" ht="15.75" customHeight="1">
      <c r="A43" s="6" t="str">
        <f t="shared" si="1"/>
        <v>02-11</v>
      </c>
      <c r="B43" s="6" t="s">
        <v>92</v>
      </c>
      <c r="C43" s="7" t="s">
        <v>93</v>
      </c>
    </row>
    <row r="44" ht="15.75" customHeight="1">
      <c r="A44" s="6" t="str">
        <f t="shared" si="1"/>
        <v>02-12</v>
      </c>
      <c r="B44" s="6" t="s">
        <v>94</v>
      </c>
      <c r="C44" s="7" t="s">
        <v>95</v>
      </c>
    </row>
    <row r="45" ht="15.75" customHeight="1">
      <c r="A45" s="6" t="str">
        <f t="shared" si="1"/>
        <v>02-13</v>
      </c>
      <c r="B45" s="6" t="s">
        <v>96</v>
      </c>
      <c r="C45" s="7" t="s">
        <v>97</v>
      </c>
    </row>
    <row r="46" ht="15.75" customHeight="1">
      <c r="A46" s="6" t="str">
        <f t="shared" si="1"/>
        <v>02-14</v>
      </c>
      <c r="B46" s="6" t="s">
        <v>98</v>
      </c>
      <c r="C46" s="7" t="s">
        <v>99</v>
      </c>
    </row>
    <row r="47" ht="15.75" customHeight="1">
      <c r="A47" s="6" t="str">
        <f t="shared" si="1"/>
        <v>02-15</v>
      </c>
      <c r="B47" s="6" t="s">
        <v>100</v>
      </c>
      <c r="C47" s="7" t="s">
        <v>101</v>
      </c>
    </row>
    <row r="48" ht="15.75" customHeight="1">
      <c r="A48" s="6" t="str">
        <f t="shared" si="1"/>
        <v>02-16</v>
      </c>
      <c r="B48" s="6" t="s">
        <v>102</v>
      </c>
      <c r="C48" s="7" t="s">
        <v>103</v>
      </c>
    </row>
    <row r="49" ht="15.75" customHeight="1">
      <c r="A49" s="6" t="str">
        <f t="shared" si="1"/>
        <v>02-17</v>
      </c>
      <c r="B49" s="6" t="s">
        <v>104</v>
      </c>
      <c r="C49" s="7" t="s">
        <v>105</v>
      </c>
    </row>
    <row r="50" ht="15.75" customHeight="1">
      <c r="A50" s="6" t="str">
        <f t="shared" si="1"/>
        <v>02-18</v>
      </c>
      <c r="B50" s="6" t="s">
        <v>106</v>
      </c>
      <c r="C50" s="7" t="s">
        <v>107</v>
      </c>
    </row>
    <row r="51" ht="15.75" customHeight="1">
      <c r="A51" s="6" t="str">
        <f t="shared" si="1"/>
        <v>02-19</v>
      </c>
      <c r="B51" s="6" t="s">
        <v>108</v>
      </c>
      <c r="C51" s="7" t="s">
        <v>109</v>
      </c>
    </row>
    <row r="52" ht="15.75" customHeight="1">
      <c r="A52" s="6" t="str">
        <f t="shared" si="1"/>
        <v>02-20</v>
      </c>
      <c r="B52" s="6" t="s">
        <v>110</v>
      </c>
      <c r="C52" s="7" t="s">
        <v>111</v>
      </c>
    </row>
    <row r="53" ht="15.75" customHeight="1">
      <c r="A53" s="6" t="str">
        <f t="shared" si="1"/>
        <v>02-21</v>
      </c>
      <c r="B53" s="6" t="s">
        <v>112</v>
      </c>
      <c r="C53" s="7" t="s">
        <v>113</v>
      </c>
    </row>
    <row r="54" ht="15.75" customHeight="1">
      <c r="A54" s="6" t="str">
        <f t="shared" si="1"/>
        <v>02-22</v>
      </c>
      <c r="B54" s="6" t="s">
        <v>114</v>
      </c>
      <c r="C54" s="7" t="s">
        <v>115</v>
      </c>
    </row>
    <row r="55" ht="15.75" customHeight="1">
      <c r="A55" s="6" t="str">
        <f t="shared" si="1"/>
        <v>02-23</v>
      </c>
      <c r="B55" s="6" t="s">
        <v>116</v>
      </c>
      <c r="C55" s="7" t="s">
        <v>117</v>
      </c>
    </row>
    <row r="56" ht="15.75" customHeight="1">
      <c r="A56" s="6" t="str">
        <f t="shared" si="1"/>
        <v>02-24</v>
      </c>
      <c r="B56" s="6" t="s">
        <v>118</v>
      </c>
      <c r="C56" s="7" t="s">
        <v>119</v>
      </c>
    </row>
    <row r="57" ht="15.75" customHeight="1">
      <c r="A57" s="6" t="str">
        <f t="shared" si="1"/>
        <v>02-25</v>
      </c>
      <c r="B57" s="6" t="s">
        <v>120</v>
      </c>
      <c r="C57" s="7" t="s">
        <v>121</v>
      </c>
    </row>
    <row r="58" ht="15.75" customHeight="1">
      <c r="A58" s="6" t="str">
        <f t="shared" si="1"/>
        <v>02-26</v>
      </c>
      <c r="B58" s="6" t="s">
        <v>122</v>
      </c>
      <c r="C58" s="7" t="s">
        <v>123</v>
      </c>
    </row>
    <row r="59" ht="15.75" customHeight="1">
      <c r="A59" s="6" t="str">
        <f t="shared" si="1"/>
        <v>02-27</v>
      </c>
      <c r="B59" s="6" t="s">
        <v>124</v>
      </c>
      <c r="C59" s="7" t="s">
        <v>125</v>
      </c>
    </row>
    <row r="60" ht="15.75" customHeight="1">
      <c r="A60" s="6" t="str">
        <f t="shared" si="1"/>
        <v>02-28</v>
      </c>
      <c r="B60" s="6" t="s">
        <v>126</v>
      </c>
      <c r="C60" s="7" t="s">
        <v>127</v>
      </c>
    </row>
    <row r="61" ht="15.75" customHeight="1">
      <c r="A61" s="6" t="str">
        <f t="shared" si="1"/>
        <v>03-01</v>
      </c>
      <c r="B61" s="6" t="s">
        <v>128</v>
      </c>
      <c r="C61" s="7" t="s">
        <v>129</v>
      </c>
    </row>
    <row r="62" ht="15.75" customHeight="1">
      <c r="A62" s="6" t="str">
        <f t="shared" si="1"/>
        <v>03-02</v>
      </c>
      <c r="B62" s="6" t="s">
        <v>130</v>
      </c>
      <c r="C62" s="7" t="s">
        <v>131</v>
      </c>
    </row>
    <row r="63" ht="15.75" customHeight="1">
      <c r="A63" s="6" t="str">
        <f t="shared" si="1"/>
        <v>03-03</v>
      </c>
      <c r="B63" s="6" t="s">
        <v>132</v>
      </c>
      <c r="C63" s="7" t="s">
        <v>133</v>
      </c>
    </row>
    <row r="64" ht="15.75" customHeight="1">
      <c r="A64" s="6" t="str">
        <f t="shared" si="1"/>
        <v>03-04</v>
      </c>
      <c r="B64" s="6" t="s">
        <v>134</v>
      </c>
      <c r="C64" s="7" t="s">
        <v>135</v>
      </c>
    </row>
    <row r="65" ht="15.75" customHeight="1">
      <c r="A65" s="6" t="str">
        <f t="shared" si="1"/>
        <v>03-05</v>
      </c>
      <c r="B65" s="6" t="s">
        <v>136</v>
      </c>
      <c r="C65" s="7" t="s">
        <v>137</v>
      </c>
    </row>
    <row r="66" ht="15.75" customHeight="1">
      <c r="A66" s="6" t="str">
        <f t="shared" si="1"/>
        <v>03-06</v>
      </c>
      <c r="B66" s="6" t="s">
        <v>138</v>
      </c>
      <c r="C66" s="7" t="s">
        <v>139</v>
      </c>
    </row>
    <row r="67" ht="15.75" customHeight="1">
      <c r="A67" s="6" t="str">
        <f t="shared" si="1"/>
        <v>03-07</v>
      </c>
      <c r="B67" s="6" t="s">
        <v>140</v>
      </c>
      <c r="C67" s="7" t="s">
        <v>141</v>
      </c>
    </row>
    <row r="68" ht="15.75" customHeight="1">
      <c r="A68" s="6" t="str">
        <f t="shared" si="1"/>
        <v>03-08</v>
      </c>
      <c r="B68" s="6" t="s">
        <v>142</v>
      </c>
      <c r="C68" s="7" t="s">
        <v>143</v>
      </c>
    </row>
    <row r="69" ht="15.75" customHeight="1">
      <c r="A69" s="6" t="str">
        <f t="shared" si="1"/>
        <v>03-09</v>
      </c>
      <c r="B69" s="6" t="s">
        <v>144</v>
      </c>
      <c r="C69" s="7" t="s">
        <v>145</v>
      </c>
    </row>
    <row r="70" ht="15.75" customHeight="1">
      <c r="A70" s="6" t="str">
        <f t="shared" si="1"/>
        <v>03-10</v>
      </c>
      <c r="B70" s="6" t="s">
        <v>146</v>
      </c>
      <c r="C70" s="7" t="s">
        <v>147</v>
      </c>
    </row>
    <row r="71" ht="15.75" customHeight="1">
      <c r="A71" s="6" t="str">
        <f t="shared" si="1"/>
        <v>03-11</v>
      </c>
      <c r="B71" s="6" t="s">
        <v>148</v>
      </c>
      <c r="C71" s="7" t="s">
        <v>149</v>
      </c>
    </row>
    <row r="72" ht="15.75" customHeight="1">
      <c r="A72" s="6" t="str">
        <f t="shared" si="1"/>
        <v>03-12</v>
      </c>
      <c r="B72" s="6" t="s">
        <v>150</v>
      </c>
      <c r="C72" s="7" t="s">
        <v>151</v>
      </c>
    </row>
    <row r="73" ht="15.75" customHeight="1">
      <c r="A73" s="6" t="str">
        <f t="shared" si="1"/>
        <v>03-13</v>
      </c>
      <c r="B73" s="6" t="s">
        <v>152</v>
      </c>
      <c r="C73" s="7" t="s">
        <v>153</v>
      </c>
    </row>
    <row r="74" ht="15.75" customHeight="1">
      <c r="A74" s="6" t="str">
        <f t="shared" si="1"/>
        <v>03-14</v>
      </c>
      <c r="B74" s="6" t="s">
        <v>154</v>
      </c>
      <c r="C74" s="7" t="s">
        <v>155</v>
      </c>
    </row>
    <row r="75" ht="15.75" customHeight="1">
      <c r="A75" s="6" t="str">
        <f t="shared" si="1"/>
        <v>03-15</v>
      </c>
      <c r="B75" s="6" t="s">
        <v>156</v>
      </c>
      <c r="C75" s="7" t="s">
        <v>157</v>
      </c>
    </row>
    <row r="76" ht="15.75" customHeight="1">
      <c r="A76" s="6" t="str">
        <f t="shared" si="1"/>
        <v>03-16</v>
      </c>
      <c r="B76" s="6" t="s">
        <v>158</v>
      </c>
      <c r="C76" s="7" t="s">
        <v>159</v>
      </c>
    </row>
    <row r="77" ht="15.75" customHeight="1">
      <c r="A77" s="6" t="str">
        <f t="shared" si="1"/>
        <v>03-17</v>
      </c>
      <c r="B77" s="6" t="s">
        <v>160</v>
      </c>
      <c r="C77" s="7" t="s">
        <v>161</v>
      </c>
    </row>
    <row r="78" ht="15.75" customHeight="1">
      <c r="A78" s="6" t="str">
        <f t="shared" si="1"/>
        <v>03-18</v>
      </c>
      <c r="B78" s="6" t="s">
        <v>162</v>
      </c>
      <c r="C78" s="7" t="s">
        <v>163</v>
      </c>
    </row>
    <row r="79" ht="15.75" customHeight="1">
      <c r="A79" s="6" t="str">
        <f t="shared" si="1"/>
        <v>03-19</v>
      </c>
      <c r="B79" s="6" t="s">
        <v>164</v>
      </c>
      <c r="C79" s="7" t="s">
        <v>165</v>
      </c>
    </row>
    <row r="80" ht="15.75" customHeight="1">
      <c r="A80" s="6" t="str">
        <f t="shared" si="1"/>
        <v>03-20</v>
      </c>
      <c r="B80" s="6" t="s">
        <v>166</v>
      </c>
      <c r="C80" s="7" t="s">
        <v>167</v>
      </c>
    </row>
    <row r="81" ht="15.75" customHeight="1">
      <c r="A81" s="6" t="str">
        <f t="shared" si="1"/>
        <v>03-21</v>
      </c>
      <c r="B81" s="6" t="s">
        <v>168</v>
      </c>
      <c r="C81" s="7" t="s">
        <v>169</v>
      </c>
    </row>
    <row r="82" ht="15.75" customHeight="1">
      <c r="A82" s="6" t="str">
        <f t="shared" si="1"/>
        <v>03-22</v>
      </c>
      <c r="B82" s="6" t="s">
        <v>170</v>
      </c>
      <c r="C82" s="7" t="s">
        <v>171</v>
      </c>
    </row>
    <row r="83" ht="15.75" customHeight="1">
      <c r="A83" s="6" t="str">
        <f t="shared" si="1"/>
        <v>03-23</v>
      </c>
      <c r="B83" s="6" t="s">
        <v>172</v>
      </c>
      <c r="C83" s="7" t="s">
        <v>173</v>
      </c>
    </row>
    <row r="84" ht="15.75" customHeight="1">
      <c r="A84" s="6" t="str">
        <f t="shared" si="1"/>
        <v>03-24</v>
      </c>
      <c r="B84" s="6" t="s">
        <v>174</v>
      </c>
      <c r="C84" s="7" t="s">
        <v>175</v>
      </c>
    </row>
    <row r="85" ht="15.75" customHeight="1">
      <c r="A85" s="6" t="str">
        <f t="shared" si="1"/>
        <v>03-25</v>
      </c>
      <c r="B85" s="6" t="s">
        <v>176</v>
      </c>
      <c r="C85" s="7" t="s">
        <v>177</v>
      </c>
    </row>
    <row r="86" ht="15.75" customHeight="1">
      <c r="A86" s="6" t="str">
        <f t="shared" si="1"/>
        <v>03-26</v>
      </c>
      <c r="B86" s="6" t="s">
        <v>178</v>
      </c>
      <c r="C86" s="7" t="s">
        <v>179</v>
      </c>
    </row>
    <row r="87" ht="15.75" customHeight="1">
      <c r="A87" s="6" t="str">
        <f t="shared" si="1"/>
        <v>03-27</v>
      </c>
      <c r="B87" s="6" t="s">
        <v>180</v>
      </c>
      <c r="C87" s="7" t="s">
        <v>181</v>
      </c>
    </row>
    <row r="88" ht="15.75" customHeight="1">
      <c r="A88" s="6" t="str">
        <f t="shared" si="1"/>
        <v>03-28</v>
      </c>
      <c r="B88" s="6" t="s">
        <v>182</v>
      </c>
      <c r="C88" s="7" t="s">
        <v>183</v>
      </c>
    </row>
    <row r="89" ht="15.75" customHeight="1">
      <c r="A89" s="6" t="str">
        <f t="shared" si="1"/>
        <v>03-29</v>
      </c>
      <c r="B89" s="6" t="s">
        <v>184</v>
      </c>
      <c r="C89" s="7" t="s">
        <v>185</v>
      </c>
    </row>
    <row r="90" ht="15.75" customHeight="1">
      <c r="A90" s="6" t="str">
        <f t="shared" si="1"/>
        <v>03-30</v>
      </c>
      <c r="B90" s="6" t="s">
        <v>186</v>
      </c>
      <c r="C90" s="7" t="s">
        <v>187</v>
      </c>
    </row>
    <row r="91" ht="15.75" customHeight="1">
      <c r="A91" s="6" t="str">
        <f t="shared" si="1"/>
        <v>03-31</v>
      </c>
      <c r="B91" s="6" t="s">
        <v>188</v>
      </c>
      <c r="C91" s="7" t="s">
        <v>189</v>
      </c>
    </row>
    <row r="92" ht="15.75" customHeight="1">
      <c r="A92" s="6" t="str">
        <f t="shared" si="1"/>
        <v>04-01</v>
      </c>
      <c r="B92" s="6" t="s">
        <v>190</v>
      </c>
      <c r="C92" s="7" t="s">
        <v>191</v>
      </c>
    </row>
    <row r="93" ht="15.75" customHeight="1">
      <c r="A93" s="6" t="str">
        <f t="shared" si="1"/>
        <v>04-02</v>
      </c>
      <c r="B93" s="6" t="s">
        <v>192</v>
      </c>
      <c r="C93" s="7" t="s">
        <v>193</v>
      </c>
    </row>
    <row r="94" ht="15.75" customHeight="1">
      <c r="A94" s="6" t="str">
        <f t="shared" si="1"/>
        <v>04-03</v>
      </c>
      <c r="B94" s="6" t="s">
        <v>194</v>
      </c>
      <c r="C94" s="7" t="s">
        <v>195</v>
      </c>
    </row>
    <row r="95" ht="15.75" customHeight="1">
      <c r="A95" s="6" t="str">
        <f t="shared" si="1"/>
        <v>04-04</v>
      </c>
      <c r="B95" s="6" t="s">
        <v>196</v>
      </c>
      <c r="C95" s="7" t="s">
        <v>197</v>
      </c>
    </row>
    <row r="96" ht="15.75" customHeight="1">
      <c r="A96" s="6" t="str">
        <f t="shared" si="1"/>
        <v>04-05</v>
      </c>
      <c r="B96" s="6" t="s">
        <v>198</v>
      </c>
      <c r="C96" s="7" t="s">
        <v>199</v>
      </c>
    </row>
    <row r="97" ht="15.75" customHeight="1">
      <c r="A97" s="6" t="str">
        <f t="shared" si="1"/>
        <v>04-06</v>
      </c>
      <c r="B97" s="6" t="s">
        <v>200</v>
      </c>
      <c r="C97" s="7" t="s">
        <v>201</v>
      </c>
    </row>
    <row r="98" ht="15.75" customHeight="1">
      <c r="A98" s="6" t="str">
        <f t="shared" si="1"/>
        <v>04-07</v>
      </c>
      <c r="B98" s="6" t="s">
        <v>202</v>
      </c>
      <c r="C98" s="7" t="s">
        <v>203</v>
      </c>
    </row>
    <row r="99" ht="15.75" customHeight="1">
      <c r="A99" s="6" t="str">
        <f t="shared" si="1"/>
        <v>04-08</v>
      </c>
      <c r="B99" s="6" t="s">
        <v>204</v>
      </c>
      <c r="C99" s="7" t="s">
        <v>205</v>
      </c>
    </row>
    <row r="100" ht="15.75" customHeight="1">
      <c r="A100" s="6" t="str">
        <f t="shared" si="1"/>
        <v>04-09</v>
      </c>
      <c r="B100" s="6" t="s">
        <v>206</v>
      </c>
      <c r="C100" s="7" t="s">
        <v>207</v>
      </c>
    </row>
    <row r="101" ht="15.75" customHeight="1">
      <c r="A101" s="6" t="str">
        <f t="shared" si="1"/>
        <v>04-10</v>
      </c>
      <c r="B101" s="6" t="s">
        <v>208</v>
      </c>
      <c r="C101" s="7" t="s">
        <v>209</v>
      </c>
    </row>
    <row r="102" ht="15.75" customHeight="1">
      <c r="A102" s="6" t="str">
        <f t="shared" si="1"/>
        <v>04-11</v>
      </c>
      <c r="B102" s="6" t="s">
        <v>210</v>
      </c>
      <c r="C102" s="7" t="s">
        <v>211</v>
      </c>
    </row>
    <row r="103" ht="15.75" customHeight="1">
      <c r="A103" s="6" t="str">
        <f t="shared" si="1"/>
        <v>04-12</v>
      </c>
      <c r="B103" s="6" t="s">
        <v>212</v>
      </c>
      <c r="C103" s="7" t="s">
        <v>213</v>
      </c>
    </row>
    <row r="104" ht="15.75" customHeight="1">
      <c r="A104" s="6" t="str">
        <f t="shared" si="1"/>
        <v>04-13</v>
      </c>
      <c r="B104" s="6" t="s">
        <v>214</v>
      </c>
      <c r="C104" s="7" t="s">
        <v>215</v>
      </c>
    </row>
    <row r="105" ht="15.75" customHeight="1">
      <c r="A105" s="6" t="str">
        <f t="shared" si="1"/>
        <v>04-14</v>
      </c>
      <c r="B105" s="6" t="s">
        <v>216</v>
      </c>
      <c r="C105" s="7" t="s">
        <v>217</v>
      </c>
    </row>
    <row r="106" ht="15.75" customHeight="1">
      <c r="A106" s="6" t="str">
        <f t="shared" si="1"/>
        <v>04-15</v>
      </c>
      <c r="B106" s="6" t="s">
        <v>218</v>
      </c>
      <c r="C106" s="7" t="s">
        <v>219</v>
      </c>
    </row>
    <row r="107" ht="15.75" customHeight="1">
      <c r="A107" s="6" t="str">
        <f t="shared" si="1"/>
        <v>04-16</v>
      </c>
      <c r="B107" s="6" t="s">
        <v>220</v>
      </c>
      <c r="C107" s="7" t="s">
        <v>221</v>
      </c>
    </row>
    <row r="108" ht="15.75" customHeight="1">
      <c r="A108" s="6" t="str">
        <f t="shared" si="1"/>
        <v>04-17</v>
      </c>
      <c r="B108" s="6" t="s">
        <v>222</v>
      </c>
      <c r="C108" s="7" t="s">
        <v>223</v>
      </c>
    </row>
    <row r="109" ht="15.75" customHeight="1">
      <c r="A109" s="6" t="str">
        <f t="shared" si="1"/>
        <v>04-18</v>
      </c>
      <c r="B109" s="6" t="s">
        <v>224</v>
      </c>
      <c r="C109" s="7" t="s">
        <v>225</v>
      </c>
    </row>
    <row r="110" ht="15.75" customHeight="1">
      <c r="A110" s="6" t="str">
        <f t="shared" si="1"/>
        <v>04-19</v>
      </c>
      <c r="B110" s="6" t="s">
        <v>226</v>
      </c>
      <c r="C110" s="7" t="s">
        <v>227</v>
      </c>
    </row>
    <row r="111" ht="15.75" customHeight="1">
      <c r="A111" s="6" t="str">
        <f t="shared" si="1"/>
        <v>04-20</v>
      </c>
      <c r="B111" s="6" t="s">
        <v>228</v>
      </c>
      <c r="C111" s="7" t="s">
        <v>229</v>
      </c>
    </row>
    <row r="112" ht="15.75" customHeight="1">
      <c r="A112" s="6" t="str">
        <f t="shared" si="1"/>
        <v>04-21</v>
      </c>
      <c r="B112" s="6" t="s">
        <v>230</v>
      </c>
      <c r="C112" s="7" t="s">
        <v>231</v>
      </c>
    </row>
    <row r="113" ht="15.75" customHeight="1">
      <c r="A113" s="6" t="str">
        <f t="shared" si="1"/>
        <v>04-22</v>
      </c>
      <c r="B113" s="6" t="s">
        <v>232</v>
      </c>
      <c r="C113" s="7" t="s">
        <v>233</v>
      </c>
    </row>
    <row r="114" ht="15.75" customHeight="1">
      <c r="A114" s="6" t="str">
        <f t="shared" si="1"/>
        <v>04-23</v>
      </c>
      <c r="B114" s="6" t="s">
        <v>234</v>
      </c>
      <c r="C114" s="7" t="s">
        <v>235</v>
      </c>
    </row>
    <row r="115" ht="15.75" customHeight="1">
      <c r="A115" s="6" t="str">
        <f t="shared" si="1"/>
        <v>04-24</v>
      </c>
      <c r="B115" s="6" t="s">
        <v>236</v>
      </c>
      <c r="C115" s="7" t="s">
        <v>237</v>
      </c>
    </row>
    <row r="116" ht="15.75" customHeight="1">
      <c r="A116" s="6" t="str">
        <f t="shared" si="1"/>
        <v>04-25</v>
      </c>
      <c r="B116" s="6" t="s">
        <v>238</v>
      </c>
      <c r="C116" s="7" t="s">
        <v>239</v>
      </c>
    </row>
    <row r="117" ht="15.75" customHeight="1">
      <c r="A117" s="6" t="str">
        <f t="shared" si="1"/>
        <v>04-26</v>
      </c>
      <c r="B117" s="6" t="s">
        <v>240</v>
      </c>
      <c r="C117" s="7" t="s">
        <v>241</v>
      </c>
    </row>
    <row r="118" ht="15.75" customHeight="1">
      <c r="A118" s="6" t="str">
        <f t="shared" si="1"/>
        <v>04-27</v>
      </c>
      <c r="B118" s="6" t="s">
        <v>242</v>
      </c>
      <c r="C118" s="7" t="s">
        <v>243</v>
      </c>
    </row>
    <row r="119" ht="15.75" customHeight="1">
      <c r="A119" s="6" t="str">
        <f t="shared" si="1"/>
        <v>04-28</v>
      </c>
      <c r="B119" s="6" t="s">
        <v>244</v>
      </c>
      <c r="C119" s="7" t="s">
        <v>245</v>
      </c>
    </row>
    <row r="120" ht="15.75" customHeight="1">
      <c r="A120" s="6" t="str">
        <f t="shared" si="1"/>
        <v>04-29</v>
      </c>
      <c r="B120" s="6" t="s">
        <v>246</v>
      </c>
      <c r="C120" s="7" t="s">
        <v>247</v>
      </c>
    </row>
    <row r="121" ht="15.75" customHeight="1">
      <c r="A121" s="6" t="str">
        <f t="shared" si="1"/>
        <v>04-30</v>
      </c>
      <c r="B121" s="6" t="s">
        <v>248</v>
      </c>
      <c r="C121" s="7" t="s">
        <v>249</v>
      </c>
    </row>
    <row r="122" ht="15.75" customHeight="1">
      <c r="A122" s="6" t="str">
        <f t="shared" si="1"/>
        <v>05-01</v>
      </c>
      <c r="B122" s="6" t="s">
        <v>250</v>
      </c>
      <c r="C122" s="7" t="s">
        <v>251</v>
      </c>
    </row>
    <row r="123" ht="15.75" customHeight="1">
      <c r="A123" s="6" t="str">
        <f t="shared" si="1"/>
        <v>05-02</v>
      </c>
      <c r="B123" s="6" t="s">
        <v>252</v>
      </c>
      <c r="C123" s="7" t="s">
        <v>253</v>
      </c>
    </row>
    <row r="124" ht="15.75" customHeight="1">
      <c r="A124" s="6" t="str">
        <f t="shared" si="1"/>
        <v>05-03</v>
      </c>
      <c r="B124" s="6" t="s">
        <v>254</v>
      </c>
      <c r="C124" s="7" t="s">
        <v>255</v>
      </c>
    </row>
    <row r="125" ht="15.75" customHeight="1">
      <c r="A125" s="6" t="str">
        <f t="shared" si="1"/>
        <v>05-04</v>
      </c>
      <c r="B125" s="6" t="s">
        <v>256</v>
      </c>
      <c r="C125" s="7" t="s">
        <v>257</v>
      </c>
    </row>
    <row r="126" ht="15.75" customHeight="1">
      <c r="A126" s="6" t="str">
        <f t="shared" si="1"/>
        <v>05-05</v>
      </c>
      <c r="B126" s="6" t="s">
        <v>258</v>
      </c>
      <c r="C126" s="7" t="s">
        <v>259</v>
      </c>
    </row>
    <row r="127" ht="15.75" customHeight="1">
      <c r="A127" s="6" t="str">
        <f t="shared" si="1"/>
        <v>05-06</v>
      </c>
      <c r="B127" s="6" t="s">
        <v>260</v>
      </c>
      <c r="C127" s="7" t="s">
        <v>261</v>
      </c>
    </row>
    <row r="128" ht="15.75" customHeight="1">
      <c r="A128" s="6" t="str">
        <f t="shared" si="1"/>
        <v>05-07</v>
      </c>
      <c r="B128" s="6" t="s">
        <v>262</v>
      </c>
      <c r="C128" s="7" t="s">
        <v>263</v>
      </c>
    </row>
    <row r="129" ht="15.75" customHeight="1">
      <c r="A129" s="6" t="str">
        <f t="shared" si="1"/>
        <v>05-08</v>
      </c>
      <c r="B129" s="6" t="s">
        <v>264</v>
      </c>
      <c r="C129" s="7" t="s">
        <v>265</v>
      </c>
    </row>
    <row r="130" ht="15.75" customHeight="1">
      <c r="A130" s="6" t="str">
        <f t="shared" si="1"/>
        <v>05-09</v>
      </c>
      <c r="B130" s="6" t="s">
        <v>266</v>
      </c>
      <c r="C130" s="7" t="s">
        <v>267</v>
      </c>
    </row>
    <row r="131" ht="15.75" customHeight="1">
      <c r="A131" s="6" t="str">
        <f t="shared" si="1"/>
        <v>05-10</v>
      </c>
      <c r="B131" s="6" t="s">
        <v>268</v>
      </c>
      <c r="C131" s="7" t="s">
        <v>269</v>
      </c>
    </row>
    <row r="132" ht="15.75" customHeight="1">
      <c r="A132" s="6" t="str">
        <f t="shared" si="1"/>
        <v>05-11</v>
      </c>
      <c r="B132" s="6" t="s">
        <v>270</v>
      </c>
      <c r="C132" s="7" t="s">
        <v>271</v>
      </c>
    </row>
    <row r="133" ht="15.75" customHeight="1">
      <c r="A133" s="6" t="str">
        <f t="shared" si="1"/>
        <v>05-12</v>
      </c>
      <c r="B133" s="6" t="s">
        <v>272</v>
      </c>
      <c r="C133" s="7" t="s">
        <v>273</v>
      </c>
    </row>
    <row r="134" ht="15.75" customHeight="1">
      <c r="A134" s="6" t="str">
        <f t="shared" si="1"/>
        <v>05-13</v>
      </c>
      <c r="B134" s="6" t="s">
        <v>274</v>
      </c>
      <c r="C134" s="7" t="s">
        <v>275</v>
      </c>
    </row>
    <row r="135" ht="15.75" customHeight="1">
      <c r="A135" s="6" t="str">
        <f t="shared" si="1"/>
        <v>05-14</v>
      </c>
      <c r="B135" s="6" t="s">
        <v>276</v>
      </c>
      <c r="C135" s="7" t="s">
        <v>277</v>
      </c>
    </row>
    <row r="136" ht="15.75" customHeight="1">
      <c r="A136" s="6" t="str">
        <f t="shared" si="1"/>
        <v>05-15</v>
      </c>
      <c r="B136" s="6" t="s">
        <v>278</v>
      </c>
      <c r="C136" s="7" t="s">
        <v>279</v>
      </c>
    </row>
    <row r="137" ht="15.75" customHeight="1">
      <c r="A137" s="6" t="str">
        <f t="shared" si="1"/>
        <v>05-16</v>
      </c>
      <c r="B137" s="6" t="s">
        <v>280</v>
      </c>
      <c r="C137" s="7" t="s">
        <v>281</v>
      </c>
    </row>
    <row r="138" ht="15.75" customHeight="1">
      <c r="A138" s="6" t="str">
        <f t="shared" si="1"/>
        <v>05-17</v>
      </c>
      <c r="B138" s="6" t="s">
        <v>282</v>
      </c>
      <c r="C138" s="7" t="s">
        <v>283</v>
      </c>
    </row>
    <row r="139" ht="15.75" customHeight="1">
      <c r="A139" s="6" t="str">
        <f t="shared" si="1"/>
        <v>05-18</v>
      </c>
      <c r="B139" s="6" t="s">
        <v>284</v>
      </c>
      <c r="C139" s="7" t="s">
        <v>285</v>
      </c>
    </row>
    <row r="140" ht="15.75" customHeight="1">
      <c r="A140" s="6" t="str">
        <f t="shared" si="1"/>
        <v>05-19</v>
      </c>
      <c r="B140" s="6" t="s">
        <v>286</v>
      </c>
      <c r="C140" s="7" t="s">
        <v>287</v>
      </c>
    </row>
    <row r="141" ht="15.75" customHeight="1">
      <c r="A141" s="6" t="str">
        <f t="shared" si="1"/>
        <v>05-20</v>
      </c>
      <c r="B141" s="6" t="s">
        <v>288</v>
      </c>
      <c r="C141" s="7" t="s">
        <v>289</v>
      </c>
    </row>
    <row r="142" ht="15.75" customHeight="1">
      <c r="A142" s="6" t="str">
        <f t="shared" si="1"/>
        <v>05-21</v>
      </c>
      <c r="B142" s="6" t="s">
        <v>290</v>
      </c>
      <c r="C142" s="7" t="s">
        <v>291</v>
      </c>
    </row>
    <row r="143" ht="15.75" customHeight="1">
      <c r="A143" s="6" t="str">
        <f t="shared" si="1"/>
        <v>05-22</v>
      </c>
      <c r="B143" s="6" t="s">
        <v>292</v>
      </c>
      <c r="C143" s="7" t="s">
        <v>293</v>
      </c>
    </row>
    <row r="144" ht="15.75" customHeight="1">
      <c r="A144" s="6" t="str">
        <f t="shared" si="1"/>
        <v>05-23</v>
      </c>
      <c r="B144" s="6" t="s">
        <v>294</v>
      </c>
      <c r="C144" s="7" t="s">
        <v>295</v>
      </c>
    </row>
    <row r="145" ht="15.75" customHeight="1">
      <c r="A145" s="6" t="str">
        <f t="shared" si="1"/>
        <v>05-24</v>
      </c>
      <c r="B145" s="6" t="s">
        <v>296</v>
      </c>
      <c r="C145" s="7" t="s">
        <v>297</v>
      </c>
    </row>
    <row r="146" ht="15.75" customHeight="1">
      <c r="A146" s="6" t="str">
        <f t="shared" si="1"/>
        <v>05-25</v>
      </c>
      <c r="B146" s="6" t="s">
        <v>298</v>
      </c>
      <c r="C146" s="7" t="s">
        <v>299</v>
      </c>
    </row>
    <row r="147" ht="15.75" customHeight="1">
      <c r="A147" s="6" t="str">
        <f t="shared" si="1"/>
        <v>05-26</v>
      </c>
      <c r="B147" s="6" t="s">
        <v>300</v>
      </c>
      <c r="C147" s="7" t="s">
        <v>301</v>
      </c>
    </row>
    <row r="148" ht="15.75" customHeight="1">
      <c r="A148" s="6" t="str">
        <f t="shared" si="1"/>
        <v>05-27</v>
      </c>
      <c r="B148" s="6" t="s">
        <v>302</v>
      </c>
      <c r="C148" s="7" t="s">
        <v>303</v>
      </c>
    </row>
    <row r="149" ht="15.75" customHeight="1">
      <c r="A149" s="6" t="str">
        <f t="shared" si="1"/>
        <v>05-28</v>
      </c>
      <c r="B149" s="6" t="s">
        <v>304</v>
      </c>
      <c r="C149" s="7" t="s">
        <v>305</v>
      </c>
    </row>
    <row r="150" ht="15.75" customHeight="1">
      <c r="A150" s="6" t="str">
        <f t="shared" si="1"/>
        <v>05-29</v>
      </c>
      <c r="B150" s="6" t="s">
        <v>306</v>
      </c>
      <c r="C150" s="7" t="s">
        <v>307</v>
      </c>
    </row>
    <row r="151" ht="15.75" customHeight="1">
      <c r="A151" s="6" t="str">
        <f t="shared" si="1"/>
        <v>05-30</v>
      </c>
      <c r="B151" s="6" t="s">
        <v>308</v>
      </c>
      <c r="C151" s="7" t="s">
        <v>309</v>
      </c>
    </row>
    <row r="152" ht="15.75" customHeight="1">
      <c r="A152" s="6" t="str">
        <f t="shared" si="1"/>
        <v>05-31</v>
      </c>
      <c r="B152" s="6" t="s">
        <v>310</v>
      </c>
      <c r="C152" s="7" t="s">
        <v>311</v>
      </c>
    </row>
    <row r="153" ht="15.75" customHeight="1">
      <c r="A153" s="6" t="str">
        <f t="shared" si="1"/>
        <v>06-01</v>
      </c>
      <c r="B153" s="6" t="s">
        <v>312</v>
      </c>
      <c r="C153" s="7" t="s">
        <v>313</v>
      </c>
    </row>
    <row r="154" ht="15.75" customHeight="1">
      <c r="A154" s="6" t="str">
        <f t="shared" si="1"/>
        <v>06-02</v>
      </c>
      <c r="B154" s="6" t="s">
        <v>314</v>
      </c>
      <c r="C154" s="7" t="s">
        <v>315</v>
      </c>
    </row>
    <row r="155" ht="15.75" customHeight="1">
      <c r="A155" s="6" t="str">
        <f t="shared" si="1"/>
        <v>06-03</v>
      </c>
      <c r="B155" s="6" t="s">
        <v>316</v>
      </c>
      <c r="C155" s="7" t="s">
        <v>317</v>
      </c>
    </row>
    <row r="156" ht="15.75" customHeight="1">
      <c r="A156" s="6" t="str">
        <f t="shared" si="1"/>
        <v>06-04</v>
      </c>
      <c r="B156" s="6" t="s">
        <v>318</v>
      </c>
      <c r="C156" s="7" t="s">
        <v>319</v>
      </c>
    </row>
    <row r="157" ht="15.75" customHeight="1">
      <c r="A157" s="6" t="str">
        <f t="shared" si="1"/>
        <v>06-05</v>
      </c>
      <c r="B157" s="6" t="s">
        <v>320</v>
      </c>
      <c r="C157" s="7" t="s">
        <v>321</v>
      </c>
    </row>
    <row r="158" ht="15.75" customHeight="1">
      <c r="A158" s="6" t="str">
        <f t="shared" si="1"/>
        <v>06-06</v>
      </c>
      <c r="B158" s="6" t="s">
        <v>322</v>
      </c>
      <c r="C158" s="7" t="s">
        <v>323</v>
      </c>
    </row>
    <row r="159" ht="15.75" customHeight="1">
      <c r="A159" s="6" t="str">
        <f t="shared" si="1"/>
        <v>06-07</v>
      </c>
      <c r="B159" s="6" t="s">
        <v>324</v>
      </c>
      <c r="C159" s="7" t="s">
        <v>325</v>
      </c>
    </row>
    <row r="160" ht="15.75" customHeight="1">
      <c r="A160" s="6" t="str">
        <f t="shared" si="1"/>
        <v>06-08</v>
      </c>
      <c r="B160" s="6" t="s">
        <v>326</v>
      </c>
      <c r="C160" s="7" t="s">
        <v>327</v>
      </c>
    </row>
    <row r="161" ht="15.75" customHeight="1">
      <c r="A161" s="6" t="str">
        <f t="shared" si="1"/>
        <v>06-09</v>
      </c>
      <c r="B161" s="6" t="s">
        <v>328</v>
      </c>
      <c r="C161" s="7" t="s">
        <v>329</v>
      </c>
    </row>
    <row r="162" ht="15.75" customHeight="1">
      <c r="A162" s="6" t="str">
        <f t="shared" si="1"/>
        <v>06-10</v>
      </c>
      <c r="B162" s="6" t="s">
        <v>330</v>
      </c>
      <c r="C162" s="7" t="s">
        <v>331</v>
      </c>
    </row>
    <row r="163" ht="15.75" customHeight="1">
      <c r="A163" s="6" t="str">
        <f t="shared" si="1"/>
        <v>06-11</v>
      </c>
      <c r="B163" s="6" t="s">
        <v>332</v>
      </c>
      <c r="C163" s="7" t="s">
        <v>333</v>
      </c>
    </row>
    <row r="164" ht="15.75" customHeight="1">
      <c r="A164" s="6" t="str">
        <f t="shared" si="1"/>
        <v>06-12</v>
      </c>
      <c r="B164" s="6" t="s">
        <v>334</v>
      </c>
      <c r="C164" s="7" t="s">
        <v>335</v>
      </c>
    </row>
    <row r="165" ht="15.75" customHeight="1">
      <c r="A165" s="6" t="str">
        <f t="shared" si="1"/>
        <v>06-13</v>
      </c>
      <c r="B165" s="6" t="s">
        <v>336</v>
      </c>
      <c r="C165" s="7" t="s">
        <v>337</v>
      </c>
    </row>
    <row r="166" ht="15.75" customHeight="1">
      <c r="A166" s="6" t="str">
        <f t="shared" si="1"/>
        <v>06-14</v>
      </c>
      <c r="B166" s="6" t="s">
        <v>338</v>
      </c>
      <c r="C166" s="7" t="s">
        <v>339</v>
      </c>
    </row>
    <row r="167" ht="15.75" customHeight="1">
      <c r="A167" s="6" t="str">
        <f t="shared" si="1"/>
        <v>06-15</v>
      </c>
      <c r="B167" s="6" t="s">
        <v>340</v>
      </c>
      <c r="C167" s="7" t="s">
        <v>341</v>
      </c>
    </row>
    <row r="168" ht="15.75" customHeight="1">
      <c r="A168" s="6" t="str">
        <f t="shared" si="1"/>
        <v>06-16</v>
      </c>
      <c r="B168" s="6" t="s">
        <v>342</v>
      </c>
      <c r="C168" s="7" t="s">
        <v>343</v>
      </c>
    </row>
    <row r="169" ht="15.75" customHeight="1">
      <c r="A169" s="6" t="str">
        <f t="shared" si="1"/>
        <v>06-17</v>
      </c>
      <c r="B169" s="6" t="s">
        <v>344</v>
      </c>
      <c r="C169" s="7" t="s">
        <v>345</v>
      </c>
    </row>
    <row r="170" ht="15.75" customHeight="1">
      <c r="A170" s="6" t="str">
        <f t="shared" si="1"/>
        <v>06-18</v>
      </c>
      <c r="B170" s="6" t="s">
        <v>346</v>
      </c>
      <c r="C170" s="7" t="s">
        <v>347</v>
      </c>
    </row>
    <row r="171" ht="15.75" customHeight="1">
      <c r="A171" s="6" t="str">
        <f t="shared" si="1"/>
        <v>06-19</v>
      </c>
      <c r="B171" s="6" t="s">
        <v>348</v>
      </c>
      <c r="C171" s="7" t="s">
        <v>349</v>
      </c>
    </row>
    <row r="172" ht="15.75" customHeight="1">
      <c r="A172" s="6" t="str">
        <f t="shared" si="1"/>
        <v>06-20</v>
      </c>
      <c r="B172" s="6" t="s">
        <v>350</v>
      </c>
      <c r="C172" s="7" t="s">
        <v>351</v>
      </c>
    </row>
    <row r="173" ht="15.75" customHeight="1">
      <c r="A173" s="6" t="str">
        <f t="shared" si="1"/>
        <v>06-21</v>
      </c>
      <c r="B173" s="6" t="s">
        <v>352</v>
      </c>
      <c r="C173" s="7" t="s">
        <v>353</v>
      </c>
    </row>
    <row r="174" ht="15.75" customHeight="1">
      <c r="A174" s="6" t="str">
        <f t="shared" si="1"/>
        <v>06-22</v>
      </c>
      <c r="B174" s="6" t="s">
        <v>354</v>
      </c>
      <c r="C174" s="7" t="s">
        <v>355</v>
      </c>
    </row>
    <row r="175" ht="15.75" customHeight="1">
      <c r="A175" s="6" t="str">
        <f t="shared" si="1"/>
        <v>06-23</v>
      </c>
      <c r="B175" s="6" t="s">
        <v>356</v>
      </c>
      <c r="C175" s="7" t="s">
        <v>357</v>
      </c>
    </row>
    <row r="176" ht="15.75" customHeight="1">
      <c r="A176" s="6" t="str">
        <f t="shared" si="1"/>
        <v>06-24</v>
      </c>
      <c r="B176" s="6" t="s">
        <v>358</v>
      </c>
      <c r="C176" s="7" t="s">
        <v>359</v>
      </c>
    </row>
    <row r="177" ht="15.75" customHeight="1">
      <c r="A177" s="6" t="str">
        <f t="shared" si="1"/>
        <v>06-25</v>
      </c>
      <c r="B177" s="6" t="s">
        <v>360</v>
      </c>
      <c r="C177" s="7" t="s">
        <v>361</v>
      </c>
    </row>
    <row r="178" ht="15.75" customHeight="1">
      <c r="A178" s="6" t="str">
        <f t="shared" si="1"/>
        <v>06-26</v>
      </c>
      <c r="B178" s="6" t="s">
        <v>362</v>
      </c>
      <c r="C178" s="7" t="s">
        <v>363</v>
      </c>
    </row>
    <row r="179" ht="15.75" customHeight="1">
      <c r="A179" s="6" t="str">
        <f t="shared" si="1"/>
        <v>06-27</v>
      </c>
      <c r="B179" s="6" t="s">
        <v>364</v>
      </c>
      <c r="C179" s="7" t="s">
        <v>365</v>
      </c>
    </row>
    <row r="180" ht="15.75" customHeight="1">
      <c r="A180" s="6" t="str">
        <f t="shared" si="1"/>
        <v>06-28</v>
      </c>
      <c r="B180" s="6" t="s">
        <v>366</v>
      </c>
      <c r="C180" s="7" t="s">
        <v>367</v>
      </c>
    </row>
    <row r="181" ht="15.75" customHeight="1">
      <c r="A181" s="6" t="str">
        <f t="shared" si="1"/>
        <v>06-29</v>
      </c>
      <c r="B181" s="6" t="s">
        <v>368</v>
      </c>
      <c r="C181" s="7" t="s">
        <v>369</v>
      </c>
    </row>
    <row r="182" ht="15.75" customHeight="1">
      <c r="A182" s="6" t="str">
        <f t="shared" si="1"/>
        <v>06-30</v>
      </c>
      <c r="B182" s="6" t="s">
        <v>370</v>
      </c>
      <c r="C182" s="7" t="s">
        <v>371</v>
      </c>
    </row>
    <row r="183" ht="15.75" customHeight="1">
      <c r="A183" s="6" t="str">
        <f t="shared" si="1"/>
        <v>07-01</v>
      </c>
      <c r="B183" s="6" t="s">
        <v>372</v>
      </c>
      <c r="C183" s="7" t="s">
        <v>373</v>
      </c>
    </row>
    <row r="184" ht="15.75" customHeight="1">
      <c r="A184" s="6" t="str">
        <f t="shared" si="1"/>
        <v>07-02</v>
      </c>
      <c r="B184" s="6" t="s">
        <v>374</v>
      </c>
      <c r="C184" s="7" t="s">
        <v>375</v>
      </c>
    </row>
    <row r="185" ht="15.75" customHeight="1">
      <c r="A185" s="6" t="str">
        <f t="shared" si="1"/>
        <v>07-03</v>
      </c>
      <c r="B185" s="6" t="s">
        <v>376</v>
      </c>
      <c r="C185" s="7" t="s">
        <v>377</v>
      </c>
    </row>
    <row r="186" ht="15.75" customHeight="1">
      <c r="A186" s="6" t="str">
        <f t="shared" si="1"/>
        <v>07-04</v>
      </c>
      <c r="B186" s="6" t="s">
        <v>378</v>
      </c>
      <c r="C186" s="7" t="s">
        <v>379</v>
      </c>
    </row>
    <row r="187" ht="15.75" customHeight="1">
      <c r="A187" s="6" t="str">
        <f t="shared" si="1"/>
        <v>07-05</v>
      </c>
      <c r="B187" s="6" t="s">
        <v>380</v>
      </c>
      <c r="C187" s="7" t="s">
        <v>381</v>
      </c>
    </row>
    <row r="188" ht="15.75" customHeight="1">
      <c r="A188" s="6" t="str">
        <f t="shared" si="1"/>
        <v>07-06</v>
      </c>
      <c r="B188" s="6" t="s">
        <v>382</v>
      </c>
      <c r="C188" s="7" t="s">
        <v>383</v>
      </c>
    </row>
    <row r="189" ht="15.75" customHeight="1">
      <c r="A189" s="6" t="str">
        <f t="shared" si="1"/>
        <v>07-07</v>
      </c>
      <c r="B189" s="6" t="s">
        <v>384</v>
      </c>
      <c r="C189" s="7" t="s">
        <v>385</v>
      </c>
    </row>
    <row r="190" ht="15.75" customHeight="1">
      <c r="A190" s="6" t="str">
        <f t="shared" si="1"/>
        <v>07-08</v>
      </c>
      <c r="B190" s="6" t="s">
        <v>386</v>
      </c>
      <c r="C190" s="7" t="s">
        <v>387</v>
      </c>
    </row>
    <row r="191" ht="15.75" customHeight="1">
      <c r="A191" s="6" t="str">
        <f t="shared" si="1"/>
        <v>07-09</v>
      </c>
      <c r="B191" s="6" t="s">
        <v>388</v>
      </c>
      <c r="C191" s="7" t="s">
        <v>389</v>
      </c>
    </row>
    <row r="192" ht="15.75" customHeight="1">
      <c r="A192" s="6" t="str">
        <f t="shared" si="1"/>
        <v>07-10</v>
      </c>
      <c r="B192" s="6" t="s">
        <v>390</v>
      </c>
      <c r="C192" s="7" t="s">
        <v>391</v>
      </c>
    </row>
    <row r="193" ht="15.75" customHeight="1">
      <c r="A193" s="6" t="str">
        <f t="shared" si="1"/>
        <v>07-11</v>
      </c>
      <c r="B193" s="6" t="s">
        <v>392</v>
      </c>
      <c r="C193" s="7" t="s">
        <v>393</v>
      </c>
    </row>
    <row r="194" ht="15.75" customHeight="1">
      <c r="A194" s="6" t="str">
        <f t="shared" si="1"/>
        <v>07-12</v>
      </c>
      <c r="B194" s="6" t="s">
        <v>394</v>
      </c>
      <c r="C194" s="7" t="s">
        <v>395</v>
      </c>
    </row>
    <row r="195" ht="15.75" customHeight="1">
      <c r="A195" s="6" t="str">
        <f t="shared" si="1"/>
        <v>07-13</v>
      </c>
      <c r="B195" s="6" t="s">
        <v>396</v>
      </c>
      <c r="C195" s="7" t="s">
        <v>397</v>
      </c>
    </row>
    <row r="196" ht="15.75" customHeight="1">
      <c r="A196" s="6" t="str">
        <f t="shared" si="1"/>
        <v>07-14</v>
      </c>
      <c r="B196" s="6" t="s">
        <v>398</v>
      </c>
      <c r="C196" s="7" t="s">
        <v>399</v>
      </c>
    </row>
    <row r="197" ht="15.75" customHeight="1">
      <c r="A197" s="6" t="str">
        <f t="shared" si="1"/>
        <v>07-15</v>
      </c>
      <c r="B197" s="6" t="s">
        <v>400</v>
      </c>
      <c r="C197" s="7" t="s">
        <v>401</v>
      </c>
    </row>
    <row r="198" ht="15.75" customHeight="1">
      <c r="A198" s="6" t="str">
        <f t="shared" si="1"/>
        <v>07-16</v>
      </c>
      <c r="B198" s="6" t="s">
        <v>402</v>
      </c>
      <c r="C198" s="7" t="s">
        <v>403</v>
      </c>
    </row>
    <row r="199" ht="15.75" customHeight="1">
      <c r="A199" s="6" t="str">
        <f t="shared" si="1"/>
        <v>07-17</v>
      </c>
      <c r="B199" s="6" t="s">
        <v>404</v>
      </c>
      <c r="C199" s="7" t="s">
        <v>405</v>
      </c>
    </row>
    <row r="200" ht="15.75" customHeight="1">
      <c r="A200" s="6" t="str">
        <f t="shared" si="1"/>
        <v>07-18</v>
      </c>
      <c r="B200" s="6" t="s">
        <v>406</v>
      </c>
      <c r="C200" s="7" t="s">
        <v>407</v>
      </c>
    </row>
    <row r="201" ht="15.75" customHeight="1">
      <c r="A201" s="6" t="str">
        <f t="shared" si="1"/>
        <v>07-19</v>
      </c>
      <c r="B201" s="6" t="s">
        <v>408</v>
      </c>
      <c r="C201" s="7" t="s">
        <v>409</v>
      </c>
    </row>
    <row r="202" ht="15.75" customHeight="1">
      <c r="A202" s="6" t="str">
        <f t="shared" si="1"/>
        <v>07-20</v>
      </c>
      <c r="B202" s="6" t="s">
        <v>410</v>
      </c>
      <c r="C202" s="7" t="s">
        <v>411</v>
      </c>
    </row>
    <row r="203" ht="15.75" customHeight="1">
      <c r="A203" s="6" t="str">
        <f t="shared" si="1"/>
        <v>07-21</v>
      </c>
      <c r="B203" s="6" t="s">
        <v>412</v>
      </c>
      <c r="C203" s="7" t="s">
        <v>413</v>
      </c>
    </row>
    <row r="204" ht="15.75" customHeight="1">
      <c r="A204" s="6" t="str">
        <f t="shared" si="1"/>
        <v>07-22</v>
      </c>
      <c r="B204" s="6" t="s">
        <v>414</v>
      </c>
      <c r="C204" s="7" t="s">
        <v>415</v>
      </c>
    </row>
    <row r="205" ht="15.75" customHeight="1">
      <c r="A205" s="6" t="str">
        <f t="shared" si="1"/>
        <v>07-23</v>
      </c>
      <c r="B205" s="6" t="s">
        <v>416</v>
      </c>
      <c r="C205" s="7" t="s">
        <v>417</v>
      </c>
    </row>
    <row r="206" ht="15.75" customHeight="1">
      <c r="A206" s="6" t="str">
        <f t="shared" si="1"/>
        <v>07-24</v>
      </c>
      <c r="B206" s="6" t="s">
        <v>418</v>
      </c>
      <c r="C206" s="7" t="s">
        <v>419</v>
      </c>
    </row>
    <row r="207" ht="15.75" customHeight="1">
      <c r="A207" s="6" t="str">
        <f t="shared" si="1"/>
        <v>07-25</v>
      </c>
      <c r="B207" s="6" t="s">
        <v>420</v>
      </c>
      <c r="C207" s="7" t="s">
        <v>421</v>
      </c>
    </row>
    <row r="208" ht="15.75" customHeight="1">
      <c r="A208" s="6" t="str">
        <f t="shared" si="1"/>
        <v>07-26</v>
      </c>
      <c r="B208" s="6" t="s">
        <v>422</v>
      </c>
      <c r="C208" s="7" t="s">
        <v>423</v>
      </c>
    </row>
    <row r="209" ht="15.75" customHeight="1">
      <c r="A209" s="6" t="str">
        <f t="shared" si="1"/>
        <v>07-27</v>
      </c>
      <c r="B209" s="6" t="s">
        <v>424</v>
      </c>
      <c r="C209" s="7" t="s">
        <v>425</v>
      </c>
    </row>
    <row r="210" ht="15.75" customHeight="1">
      <c r="A210" s="6" t="str">
        <f t="shared" si="1"/>
        <v>07-28</v>
      </c>
      <c r="B210" s="6" t="s">
        <v>426</v>
      </c>
      <c r="C210" s="7" t="s">
        <v>427</v>
      </c>
    </row>
    <row r="211" ht="15.75" customHeight="1">
      <c r="A211" s="6" t="str">
        <f t="shared" si="1"/>
        <v>07-29</v>
      </c>
      <c r="B211" s="6" t="s">
        <v>428</v>
      </c>
      <c r="C211" s="7" t="s">
        <v>429</v>
      </c>
    </row>
    <row r="212" ht="15.75" customHeight="1">
      <c r="A212" s="6" t="str">
        <f t="shared" si="1"/>
        <v>07-30</v>
      </c>
      <c r="B212" s="6" t="s">
        <v>430</v>
      </c>
      <c r="C212" s="7" t="s">
        <v>431</v>
      </c>
    </row>
    <row r="213" ht="15.75" customHeight="1">
      <c r="A213" s="6" t="str">
        <f t="shared" si="1"/>
        <v>07-31</v>
      </c>
      <c r="B213" s="6" t="s">
        <v>432</v>
      </c>
      <c r="C213" s="7" t="s">
        <v>433</v>
      </c>
    </row>
    <row r="214" ht="15.75" customHeight="1">
      <c r="A214" s="6" t="str">
        <f t="shared" si="1"/>
        <v>08-01</v>
      </c>
      <c r="B214" s="6" t="s">
        <v>434</v>
      </c>
      <c r="C214" s="7" t="s">
        <v>435</v>
      </c>
    </row>
    <row r="215" ht="15.75" customHeight="1">
      <c r="A215" s="6" t="str">
        <f t="shared" si="1"/>
        <v>08-02</v>
      </c>
      <c r="B215" s="6" t="s">
        <v>436</v>
      </c>
      <c r="C215" s="7" t="s">
        <v>437</v>
      </c>
    </row>
    <row r="216" ht="15.75" customHeight="1">
      <c r="A216" s="6" t="str">
        <f t="shared" si="1"/>
        <v>08-03</v>
      </c>
      <c r="B216" s="6" t="s">
        <v>438</v>
      </c>
      <c r="C216" s="7" t="s">
        <v>439</v>
      </c>
    </row>
    <row r="217" ht="15.75" customHeight="1">
      <c r="A217" s="6" t="str">
        <f t="shared" si="1"/>
        <v>08-04</v>
      </c>
      <c r="B217" s="6" t="s">
        <v>440</v>
      </c>
      <c r="C217" s="7" t="s">
        <v>441</v>
      </c>
    </row>
    <row r="218" ht="15.75" customHeight="1">
      <c r="A218" s="6" t="str">
        <f t="shared" si="1"/>
        <v>08-05</v>
      </c>
      <c r="B218" s="6" t="s">
        <v>442</v>
      </c>
      <c r="C218" s="7" t="s">
        <v>443</v>
      </c>
    </row>
    <row r="219" ht="15.75" customHeight="1">
      <c r="A219" s="6" t="str">
        <f t="shared" si="1"/>
        <v>08-06</v>
      </c>
      <c r="B219" s="6" t="s">
        <v>444</v>
      </c>
      <c r="C219" s="7" t="s">
        <v>445</v>
      </c>
    </row>
    <row r="220" ht="15.75" customHeight="1">
      <c r="A220" s="6" t="str">
        <f t="shared" si="1"/>
        <v>08-07</v>
      </c>
      <c r="B220" s="6" t="s">
        <v>446</v>
      </c>
      <c r="C220" s="7" t="s">
        <v>447</v>
      </c>
    </row>
    <row r="221" ht="15.75" customHeight="1">
      <c r="A221" s="6" t="str">
        <f t="shared" si="1"/>
        <v>08-08</v>
      </c>
      <c r="B221" s="6" t="s">
        <v>448</v>
      </c>
      <c r="C221" s="7" t="s">
        <v>449</v>
      </c>
    </row>
    <row r="222" ht="15.75" customHeight="1">
      <c r="A222" s="6" t="str">
        <f t="shared" si="1"/>
        <v>08-09</v>
      </c>
      <c r="B222" s="6" t="s">
        <v>450</v>
      </c>
      <c r="C222" s="7" t="s">
        <v>451</v>
      </c>
    </row>
    <row r="223" ht="15.75" customHeight="1">
      <c r="A223" s="6" t="str">
        <f t="shared" si="1"/>
        <v>08-10</v>
      </c>
      <c r="B223" s="6" t="s">
        <v>452</v>
      </c>
      <c r="C223" s="7" t="s">
        <v>453</v>
      </c>
    </row>
    <row r="224" ht="15.75" customHeight="1">
      <c r="A224" s="6" t="str">
        <f t="shared" si="1"/>
        <v>08-11</v>
      </c>
      <c r="B224" s="6" t="s">
        <v>454</v>
      </c>
      <c r="C224" s="7" t="s">
        <v>455</v>
      </c>
    </row>
    <row r="225" ht="15.75" customHeight="1">
      <c r="A225" s="6" t="str">
        <f t="shared" si="1"/>
        <v>08-12</v>
      </c>
      <c r="B225" s="6" t="s">
        <v>456</v>
      </c>
      <c r="C225" s="7" t="s">
        <v>457</v>
      </c>
    </row>
    <row r="226" ht="15.75" customHeight="1">
      <c r="A226" s="6" t="str">
        <f t="shared" si="1"/>
        <v>08-13</v>
      </c>
      <c r="B226" s="6" t="s">
        <v>458</v>
      </c>
      <c r="C226" s="7" t="s">
        <v>459</v>
      </c>
    </row>
    <row r="227" ht="15.75" customHeight="1">
      <c r="A227" s="6" t="str">
        <f t="shared" si="1"/>
        <v>08-14</v>
      </c>
      <c r="B227" s="6" t="s">
        <v>460</v>
      </c>
      <c r="C227" s="7" t="s">
        <v>461</v>
      </c>
    </row>
    <row r="228" ht="15.75" customHeight="1">
      <c r="A228" s="6" t="str">
        <f t="shared" si="1"/>
        <v>08-15</v>
      </c>
      <c r="B228" s="6" t="s">
        <v>462</v>
      </c>
      <c r="C228" s="7" t="s">
        <v>463</v>
      </c>
    </row>
    <row r="229" ht="15.75" customHeight="1">
      <c r="A229" s="6" t="str">
        <f t="shared" si="1"/>
        <v>08-16</v>
      </c>
      <c r="B229" s="6" t="s">
        <v>464</v>
      </c>
      <c r="C229" s="7" t="s">
        <v>465</v>
      </c>
    </row>
    <row r="230" ht="15.75" customHeight="1">
      <c r="A230" s="6" t="str">
        <f t="shared" si="1"/>
        <v>08-17</v>
      </c>
      <c r="B230" s="6" t="s">
        <v>466</v>
      </c>
      <c r="C230" s="7" t="s">
        <v>467</v>
      </c>
    </row>
    <row r="231" ht="15.75" customHeight="1">
      <c r="A231" s="6" t="str">
        <f t="shared" si="1"/>
        <v>08-18</v>
      </c>
      <c r="B231" s="6" t="s">
        <v>468</v>
      </c>
      <c r="C231" s="7" t="s">
        <v>469</v>
      </c>
    </row>
    <row r="232" ht="15.75" customHeight="1">
      <c r="A232" s="6" t="str">
        <f t="shared" si="1"/>
        <v>08-19</v>
      </c>
      <c r="B232" s="6" t="s">
        <v>470</v>
      </c>
      <c r="C232" s="7" t="s">
        <v>471</v>
      </c>
    </row>
    <row r="233" ht="15.75" customHeight="1">
      <c r="A233" s="6" t="str">
        <f t="shared" si="1"/>
        <v>08-20</v>
      </c>
      <c r="B233" s="6" t="s">
        <v>472</v>
      </c>
      <c r="C233" s="7" t="s">
        <v>473</v>
      </c>
    </row>
    <row r="234" ht="15.75" customHeight="1">
      <c r="A234" s="6" t="str">
        <f t="shared" si="1"/>
        <v>08-21</v>
      </c>
      <c r="B234" s="6" t="s">
        <v>474</v>
      </c>
      <c r="C234" s="7" t="s">
        <v>475</v>
      </c>
    </row>
    <row r="235" ht="15.75" customHeight="1">
      <c r="A235" s="6" t="str">
        <f t="shared" si="1"/>
        <v>08-22</v>
      </c>
      <c r="B235" s="6" t="s">
        <v>476</v>
      </c>
      <c r="C235" s="7" t="s">
        <v>477</v>
      </c>
    </row>
    <row r="236" ht="15.75" customHeight="1">
      <c r="A236" s="6" t="str">
        <f t="shared" si="1"/>
        <v>08-23</v>
      </c>
      <c r="B236" s="6" t="s">
        <v>478</v>
      </c>
      <c r="C236" s="7" t="s">
        <v>479</v>
      </c>
    </row>
    <row r="237" ht="15.75" customHeight="1">
      <c r="A237" s="6" t="str">
        <f t="shared" si="1"/>
        <v>08-24</v>
      </c>
      <c r="B237" s="6" t="s">
        <v>480</v>
      </c>
      <c r="C237" s="7" t="s">
        <v>481</v>
      </c>
    </row>
    <row r="238" ht="15.75" customHeight="1">
      <c r="A238" s="6" t="str">
        <f t="shared" si="1"/>
        <v>08-25</v>
      </c>
      <c r="B238" s="6" t="s">
        <v>482</v>
      </c>
      <c r="C238" s="7" t="s">
        <v>483</v>
      </c>
    </row>
    <row r="239" ht="15.75" customHeight="1">
      <c r="A239" s="6" t="str">
        <f t="shared" si="1"/>
        <v>08-26</v>
      </c>
      <c r="B239" s="6" t="s">
        <v>484</v>
      </c>
      <c r="C239" s="7" t="s">
        <v>485</v>
      </c>
    </row>
    <row r="240" ht="15.75" customHeight="1">
      <c r="A240" s="6" t="str">
        <f t="shared" si="1"/>
        <v>08-27</v>
      </c>
      <c r="B240" s="6" t="s">
        <v>486</v>
      </c>
      <c r="C240" s="7" t="s">
        <v>487</v>
      </c>
    </row>
    <row r="241" ht="15.75" customHeight="1">
      <c r="A241" s="6" t="str">
        <f t="shared" si="1"/>
        <v>08-28</v>
      </c>
      <c r="B241" s="6" t="s">
        <v>488</v>
      </c>
      <c r="C241" s="7" t="s">
        <v>489</v>
      </c>
    </row>
    <row r="242" ht="15.75" customHeight="1">
      <c r="A242" s="6" t="str">
        <f t="shared" si="1"/>
        <v>08-29</v>
      </c>
      <c r="B242" s="6" t="s">
        <v>490</v>
      </c>
      <c r="C242" s="7" t="s">
        <v>491</v>
      </c>
    </row>
    <row r="243" ht="15.75" customHeight="1">
      <c r="A243" s="6" t="str">
        <f t="shared" si="1"/>
        <v>08-30</v>
      </c>
      <c r="B243" s="6" t="s">
        <v>492</v>
      </c>
      <c r="C243" s="7" t="s">
        <v>493</v>
      </c>
    </row>
    <row r="244" ht="15.75" customHeight="1">
      <c r="A244" s="6" t="str">
        <f t="shared" si="1"/>
        <v>08-31</v>
      </c>
      <c r="B244" s="6" t="s">
        <v>494</v>
      </c>
      <c r="C244" s="7" t="s">
        <v>495</v>
      </c>
    </row>
    <row r="245" ht="15.75" customHeight="1">
      <c r="A245" s="6" t="str">
        <f t="shared" si="1"/>
        <v>09-01</v>
      </c>
      <c r="B245" s="6" t="s">
        <v>496</v>
      </c>
      <c r="C245" s="7" t="s">
        <v>497</v>
      </c>
    </row>
    <row r="246" ht="15.75" customHeight="1">
      <c r="A246" s="6" t="str">
        <f t="shared" si="1"/>
        <v>09-02</v>
      </c>
      <c r="B246" s="6" t="s">
        <v>498</v>
      </c>
      <c r="C246" s="7" t="s">
        <v>499</v>
      </c>
    </row>
    <row r="247" ht="15.75" customHeight="1">
      <c r="A247" s="6" t="str">
        <f t="shared" si="1"/>
        <v>09-03</v>
      </c>
      <c r="B247" s="6" t="s">
        <v>500</v>
      </c>
      <c r="C247" s="7" t="s">
        <v>501</v>
      </c>
    </row>
    <row r="248" ht="15.75" customHeight="1">
      <c r="A248" s="6" t="str">
        <f t="shared" si="1"/>
        <v>09-04</v>
      </c>
      <c r="B248" s="6" t="s">
        <v>502</v>
      </c>
      <c r="C248" s="7" t="s">
        <v>503</v>
      </c>
    </row>
    <row r="249" ht="15.75" customHeight="1">
      <c r="A249" s="6" t="str">
        <f t="shared" si="1"/>
        <v>09-05</v>
      </c>
      <c r="B249" s="6" t="s">
        <v>504</v>
      </c>
      <c r="C249" s="7" t="s">
        <v>505</v>
      </c>
    </row>
    <row r="250" ht="15.75" customHeight="1">
      <c r="A250" s="6" t="str">
        <f t="shared" si="1"/>
        <v>09-06</v>
      </c>
      <c r="B250" s="6" t="s">
        <v>506</v>
      </c>
      <c r="C250" s="7" t="s">
        <v>507</v>
      </c>
    </row>
    <row r="251" ht="15.75" customHeight="1">
      <c r="A251" s="6" t="str">
        <f t="shared" si="1"/>
        <v>09-07</v>
      </c>
      <c r="B251" s="6" t="s">
        <v>508</v>
      </c>
      <c r="C251" s="7" t="s">
        <v>509</v>
      </c>
    </row>
    <row r="252" ht="15.75" customHeight="1">
      <c r="A252" s="6" t="str">
        <f t="shared" si="1"/>
        <v>09-08</v>
      </c>
      <c r="B252" s="6" t="s">
        <v>510</v>
      </c>
      <c r="C252" s="7" t="s">
        <v>511</v>
      </c>
    </row>
    <row r="253" ht="15.75" customHeight="1">
      <c r="A253" s="6" t="str">
        <f t="shared" si="1"/>
        <v>09-09</v>
      </c>
      <c r="B253" s="6" t="s">
        <v>512</v>
      </c>
      <c r="C253" s="7" t="s">
        <v>513</v>
      </c>
    </row>
    <row r="254" ht="15.75" customHeight="1">
      <c r="A254" s="6" t="str">
        <f t="shared" si="1"/>
        <v>09-10</v>
      </c>
      <c r="B254" s="6" t="s">
        <v>514</v>
      </c>
      <c r="C254" s="7" t="s">
        <v>515</v>
      </c>
    </row>
    <row r="255" ht="15.75" customHeight="1">
      <c r="A255" s="6" t="str">
        <f t="shared" si="1"/>
        <v>09-11</v>
      </c>
      <c r="B255" s="6" t="s">
        <v>516</v>
      </c>
      <c r="C255" s="7" t="s">
        <v>517</v>
      </c>
    </row>
    <row r="256" ht="15.75" customHeight="1">
      <c r="A256" s="6" t="str">
        <f t="shared" si="1"/>
        <v>09-12</v>
      </c>
      <c r="B256" s="6" t="s">
        <v>518</v>
      </c>
      <c r="C256" s="7" t="s">
        <v>519</v>
      </c>
    </row>
    <row r="257" ht="15.75" customHeight="1">
      <c r="A257" s="6" t="str">
        <f t="shared" si="1"/>
        <v>09-13</v>
      </c>
      <c r="B257" s="6" t="s">
        <v>520</v>
      </c>
      <c r="C257" s="7" t="s">
        <v>521</v>
      </c>
    </row>
    <row r="258" ht="15.75" customHeight="1">
      <c r="A258" s="6" t="str">
        <f t="shared" si="1"/>
        <v>09-14</v>
      </c>
      <c r="B258" s="6" t="s">
        <v>522</v>
      </c>
      <c r="C258" s="7" t="s">
        <v>523</v>
      </c>
    </row>
    <row r="259" ht="15.75" customHeight="1">
      <c r="A259" s="6" t="str">
        <f t="shared" si="1"/>
        <v>09-15</v>
      </c>
      <c r="B259" s="6" t="s">
        <v>524</v>
      </c>
      <c r="C259" s="7" t="s">
        <v>525</v>
      </c>
    </row>
    <row r="260" ht="15.75" customHeight="1">
      <c r="A260" s="6" t="str">
        <f t="shared" si="1"/>
        <v>09-16</v>
      </c>
      <c r="B260" s="6" t="s">
        <v>526</v>
      </c>
      <c r="C260" s="7" t="s">
        <v>527</v>
      </c>
    </row>
    <row r="261" ht="15.75" customHeight="1">
      <c r="A261" s="6" t="str">
        <f t="shared" si="1"/>
        <v>09-17</v>
      </c>
      <c r="B261" s="6" t="s">
        <v>528</v>
      </c>
      <c r="C261" s="7" t="s">
        <v>529</v>
      </c>
    </row>
    <row r="262" ht="15.75" customHeight="1">
      <c r="A262" s="6" t="str">
        <f t="shared" si="1"/>
        <v>09-18</v>
      </c>
      <c r="B262" s="6" t="s">
        <v>530</v>
      </c>
      <c r="C262" s="7" t="s">
        <v>531</v>
      </c>
    </row>
    <row r="263" ht="15.75" customHeight="1">
      <c r="A263" s="6" t="str">
        <f t="shared" si="1"/>
        <v>09-19</v>
      </c>
      <c r="B263" s="6" t="s">
        <v>532</v>
      </c>
      <c r="C263" s="7" t="s">
        <v>533</v>
      </c>
    </row>
    <row r="264" ht="15.75" customHeight="1">
      <c r="A264" s="6" t="str">
        <f t="shared" si="1"/>
        <v>09-20</v>
      </c>
      <c r="B264" s="6" t="s">
        <v>534</v>
      </c>
      <c r="C264" s="7" t="s">
        <v>535</v>
      </c>
    </row>
    <row r="265" ht="15.75" customHeight="1">
      <c r="A265" s="6" t="str">
        <f t="shared" si="1"/>
        <v>09-21</v>
      </c>
      <c r="B265" s="6" t="s">
        <v>536</v>
      </c>
      <c r="C265" s="7" t="s">
        <v>537</v>
      </c>
    </row>
    <row r="266" ht="15.75" customHeight="1">
      <c r="A266" s="6" t="str">
        <f t="shared" si="1"/>
        <v>09-22</v>
      </c>
      <c r="B266" s="6" t="s">
        <v>538</v>
      </c>
      <c r="C266" s="7" t="s">
        <v>539</v>
      </c>
    </row>
    <row r="267" ht="15.75" customHeight="1">
      <c r="A267" s="6" t="str">
        <f t="shared" si="1"/>
        <v>09-23</v>
      </c>
      <c r="B267" s="6" t="s">
        <v>540</v>
      </c>
      <c r="C267" s="7" t="s">
        <v>541</v>
      </c>
    </row>
    <row r="268" ht="15.75" customHeight="1">
      <c r="A268" s="6" t="str">
        <f t="shared" si="1"/>
        <v>09-24</v>
      </c>
      <c r="B268" s="6" t="s">
        <v>542</v>
      </c>
      <c r="C268" s="7" t="s">
        <v>543</v>
      </c>
    </row>
    <row r="269" ht="15.75" customHeight="1">
      <c r="A269" s="6" t="str">
        <f t="shared" si="1"/>
        <v>09-25</v>
      </c>
      <c r="B269" s="6" t="s">
        <v>544</v>
      </c>
      <c r="C269" s="7" t="s">
        <v>545</v>
      </c>
    </row>
    <row r="270" ht="15.75" customHeight="1">
      <c r="A270" s="6" t="str">
        <f t="shared" si="1"/>
        <v>09-26</v>
      </c>
      <c r="B270" s="6" t="s">
        <v>546</v>
      </c>
      <c r="C270" s="7" t="s">
        <v>547</v>
      </c>
    </row>
    <row r="271" ht="15.75" customHeight="1">
      <c r="A271" s="6" t="str">
        <f t="shared" si="1"/>
        <v>09-27</v>
      </c>
      <c r="B271" s="6" t="s">
        <v>548</v>
      </c>
      <c r="C271" s="7" t="s">
        <v>549</v>
      </c>
    </row>
    <row r="272" ht="15.75" customHeight="1">
      <c r="A272" s="6" t="str">
        <f t="shared" si="1"/>
        <v>09-28</v>
      </c>
      <c r="B272" s="6" t="s">
        <v>550</v>
      </c>
      <c r="C272" s="7" t="s">
        <v>551</v>
      </c>
    </row>
    <row r="273" ht="15.75" customHeight="1">
      <c r="A273" s="6" t="str">
        <f t="shared" si="1"/>
        <v>09-29</v>
      </c>
      <c r="B273" s="6" t="s">
        <v>552</v>
      </c>
      <c r="C273" s="7" t="s">
        <v>553</v>
      </c>
    </row>
    <row r="274" ht="15.75" customHeight="1">
      <c r="A274" s="6" t="str">
        <f t="shared" si="1"/>
        <v>09-30</v>
      </c>
      <c r="B274" s="6" t="s">
        <v>554</v>
      </c>
      <c r="C274" s="7" t="s">
        <v>555</v>
      </c>
    </row>
    <row r="275" ht="15.75" customHeight="1">
      <c r="A275" s="6" t="str">
        <f t="shared" si="1"/>
        <v>10-01</v>
      </c>
      <c r="B275" s="6" t="s">
        <v>556</v>
      </c>
      <c r="C275" s="7" t="s">
        <v>557</v>
      </c>
    </row>
    <row r="276" ht="15.75" customHeight="1">
      <c r="A276" s="6" t="str">
        <f t="shared" si="1"/>
        <v>10-02</v>
      </c>
      <c r="B276" s="6" t="s">
        <v>558</v>
      </c>
      <c r="C276" s="7" t="s">
        <v>559</v>
      </c>
    </row>
    <row r="277" ht="15.75" customHeight="1">
      <c r="A277" s="6" t="str">
        <f t="shared" si="1"/>
        <v>10-03</v>
      </c>
      <c r="B277" s="6" t="s">
        <v>560</v>
      </c>
      <c r="C277" s="7" t="s">
        <v>561</v>
      </c>
    </row>
    <row r="278" ht="15.75" customHeight="1">
      <c r="A278" s="6" t="str">
        <f t="shared" si="1"/>
        <v>10-04</v>
      </c>
      <c r="B278" s="6" t="s">
        <v>562</v>
      </c>
      <c r="C278" s="7" t="s">
        <v>563</v>
      </c>
    </row>
    <row r="279" ht="15.75" customHeight="1">
      <c r="A279" s="6" t="str">
        <f t="shared" si="1"/>
        <v>10-05</v>
      </c>
      <c r="B279" s="6" t="s">
        <v>564</v>
      </c>
      <c r="C279" s="7" t="s">
        <v>565</v>
      </c>
    </row>
    <row r="280" ht="15.75" customHeight="1">
      <c r="A280" s="6" t="str">
        <f t="shared" si="1"/>
        <v>10-06</v>
      </c>
      <c r="B280" s="6" t="s">
        <v>566</v>
      </c>
      <c r="C280" s="7" t="s">
        <v>567</v>
      </c>
    </row>
    <row r="281" ht="15.75" customHeight="1">
      <c r="A281" s="6" t="str">
        <f t="shared" si="1"/>
        <v>10-07</v>
      </c>
      <c r="B281" s="6" t="s">
        <v>568</v>
      </c>
      <c r="C281" s="7" t="s">
        <v>569</v>
      </c>
    </row>
    <row r="282" ht="15.75" customHeight="1">
      <c r="A282" s="6" t="str">
        <f t="shared" si="1"/>
        <v>10-08</v>
      </c>
      <c r="B282" s="6" t="s">
        <v>570</v>
      </c>
      <c r="C282" s="7" t="s">
        <v>571</v>
      </c>
    </row>
    <row r="283" ht="15.75" customHeight="1">
      <c r="A283" s="6" t="str">
        <f t="shared" si="1"/>
        <v>10-09</v>
      </c>
      <c r="B283" s="6" t="s">
        <v>572</v>
      </c>
      <c r="C283" s="7" t="s">
        <v>573</v>
      </c>
    </row>
    <row r="284" ht="15.75" customHeight="1">
      <c r="A284" s="6" t="str">
        <f t="shared" si="1"/>
        <v>10-10</v>
      </c>
      <c r="B284" s="6" t="s">
        <v>574</v>
      </c>
      <c r="C284" s="7" t="s">
        <v>575</v>
      </c>
    </row>
    <row r="285" ht="15.75" customHeight="1">
      <c r="A285" s="6" t="str">
        <f t="shared" si="1"/>
        <v>10-11</v>
      </c>
      <c r="B285" s="6" t="s">
        <v>576</v>
      </c>
      <c r="C285" s="7" t="s">
        <v>577</v>
      </c>
    </row>
    <row r="286" ht="15.75" customHeight="1">
      <c r="A286" s="6" t="str">
        <f t="shared" si="1"/>
        <v>10-12</v>
      </c>
      <c r="B286" s="6" t="s">
        <v>578</v>
      </c>
      <c r="C286" s="7" t="s">
        <v>579</v>
      </c>
    </row>
    <row r="287" ht="15.75" customHeight="1">
      <c r="A287" s="6" t="str">
        <f t="shared" si="1"/>
        <v>10-13</v>
      </c>
      <c r="B287" s="6" t="s">
        <v>580</v>
      </c>
      <c r="C287" s="7" t="s">
        <v>581</v>
      </c>
    </row>
    <row r="288" ht="15.75" customHeight="1">
      <c r="A288" s="6" t="str">
        <f t="shared" si="1"/>
        <v>10-14</v>
      </c>
      <c r="B288" s="6" t="s">
        <v>582</v>
      </c>
      <c r="C288" s="7" t="s">
        <v>583</v>
      </c>
    </row>
    <row r="289" ht="15.75" customHeight="1">
      <c r="A289" s="6" t="str">
        <f t="shared" si="1"/>
        <v>10-15</v>
      </c>
      <c r="B289" s="6" t="s">
        <v>584</v>
      </c>
      <c r="C289" s="7" t="s">
        <v>585</v>
      </c>
    </row>
    <row r="290" ht="15.75" customHeight="1">
      <c r="A290" s="6" t="str">
        <f t="shared" si="1"/>
        <v>10-16</v>
      </c>
      <c r="B290" s="6" t="s">
        <v>586</v>
      </c>
      <c r="C290" s="7" t="s">
        <v>587</v>
      </c>
    </row>
    <row r="291" ht="15.75" customHeight="1">
      <c r="A291" s="6" t="str">
        <f t="shared" si="1"/>
        <v>10-17</v>
      </c>
      <c r="B291" s="6" t="s">
        <v>588</v>
      </c>
      <c r="C291" s="7" t="s">
        <v>589</v>
      </c>
    </row>
    <row r="292" ht="15.75" customHeight="1">
      <c r="A292" s="6" t="str">
        <f t="shared" si="1"/>
        <v>10-18</v>
      </c>
      <c r="B292" s="6" t="s">
        <v>590</v>
      </c>
      <c r="C292" s="7" t="s">
        <v>591</v>
      </c>
    </row>
    <row r="293" ht="15.75" customHeight="1">
      <c r="A293" s="6" t="str">
        <f t="shared" si="1"/>
        <v>10-19</v>
      </c>
      <c r="B293" s="6" t="s">
        <v>592</v>
      </c>
      <c r="C293" s="7" t="s">
        <v>593</v>
      </c>
    </row>
    <row r="294" ht="15.75" customHeight="1">
      <c r="A294" s="6" t="str">
        <f t="shared" si="1"/>
        <v>10-20</v>
      </c>
      <c r="B294" s="6" t="s">
        <v>594</v>
      </c>
      <c r="C294" s="7" t="s">
        <v>595</v>
      </c>
    </row>
    <row r="295" ht="15.75" customHeight="1">
      <c r="A295" s="6" t="str">
        <f t="shared" si="1"/>
        <v>10-21</v>
      </c>
      <c r="B295" s="6" t="s">
        <v>596</v>
      </c>
      <c r="C295" s="7" t="s">
        <v>597</v>
      </c>
    </row>
    <row r="296" ht="15.75" customHeight="1">
      <c r="A296" s="6" t="str">
        <f t="shared" si="1"/>
        <v>10-22</v>
      </c>
      <c r="B296" s="6" t="s">
        <v>598</v>
      </c>
      <c r="C296" s="7" t="s">
        <v>599</v>
      </c>
    </row>
    <row r="297" ht="15.75" customHeight="1">
      <c r="A297" s="6" t="str">
        <f t="shared" si="1"/>
        <v>10-23</v>
      </c>
      <c r="B297" s="6" t="s">
        <v>600</v>
      </c>
      <c r="C297" s="7" t="s">
        <v>601</v>
      </c>
    </row>
    <row r="298" ht="15.75" customHeight="1">
      <c r="A298" s="6" t="str">
        <f t="shared" si="1"/>
        <v>10-24</v>
      </c>
      <c r="B298" s="6" t="s">
        <v>602</v>
      </c>
      <c r="C298" s="7" t="s">
        <v>603</v>
      </c>
    </row>
    <row r="299" ht="15.75" customHeight="1">
      <c r="A299" s="6" t="str">
        <f t="shared" si="1"/>
        <v>10-25</v>
      </c>
      <c r="B299" s="6" t="s">
        <v>604</v>
      </c>
      <c r="C299" s="7" t="s">
        <v>605</v>
      </c>
    </row>
    <row r="300" ht="15.75" customHeight="1">
      <c r="A300" s="6" t="str">
        <f t="shared" si="1"/>
        <v>10-26</v>
      </c>
      <c r="B300" s="6" t="s">
        <v>606</v>
      </c>
      <c r="C300" s="7" t="s">
        <v>607</v>
      </c>
    </row>
    <row r="301" ht="15.75" customHeight="1">
      <c r="A301" s="6" t="str">
        <f t="shared" si="1"/>
        <v>10-27</v>
      </c>
      <c r="B301" s="6" t="s">
        <v>608</v>
      </c>
      <c r="C301" s="7" t="s">
        <v>609</v>
      </c>
    </row>
    <row r="302" ht="15.75" customHeight="1">
      <c r="A302" s="6" t="str">
        <f t="shared" si="1"/>
        <v>10-28</v>
      </c>
      <c r="B302" s="6" t="s">
        <v>610</v>
      </c>
      <c r="C302" s="7" t="s">
        <v>611</v>
      </c>
    </row>
    <row r="303" ht="15.75" customHeight="1">
      <c r="A303" s="6" t="str">
        <f t="shared" si="1"/>
        <v>10-29</v>
      </c>
      <c r="B303" s="6" t="s">
        <v>612</v>
      </c>
      <c r="C303" s="7" t="s">
        <v>613</v>
      </c>
    </row>
    <row r="304" ht="15.75" customHeight="1">
      <c r="A304" s="6" t="str">
        <f t="shared" si="1"/>
        <v>10-30</v>
      </c>
      <c r="B304" s="6" t="s">
        <v>614</v>
      </c>
      <c r="C304" s="7" t="s">
        <v>615</v>
      </c>
    </row>
    <row r="305" ht="15.75" customHeight="1">
      <c r="A305" s="6" t="str">
        <f t="shared" si="1"/>
        <v>10-31</v>
      </c>
      <c r="B305" s="6" t="s">
        <v>616</v>
      </c>
      <c r="C305" s="7" t="s">
        <v>617</v>
      </c>
    </row>
    <row r="306" ht="15.75" customHeight="1">
      <c r="A306" s="6" t="str">
        <f t="shared" si="1"/>
        <v>11-01</v>
      </c>
      <c r="B306" s="6" t="s">
        <v>618</v>
      </c>
      <c r="C306" s="7" t="s">
        <v>619</v>
      </c>
    </row>
    <row r="307" ht="15.75" customHeight="1">
      <c r="A307" s="6" t="str">
        <f t="shared" si="1"/>
        <v>11-02</v>
      </c>
      <c r="B307" s="6" t="s">
        <v>620</v>
      </c>
      <c r="C307" s="7" t="s">
        <v>621</v>
      </c>
    </row>
    <row r="308" ht="15.75" customHeight="1">
      <c r="A308" s="6" t="str">
        <f t="shared" si="1"/>
        <v>11-03</v>
      </c>
      <c r="B308" s="6" t="s">
        <v>622</v>
      </c>
      <c r="C308" s="7" t="s">
        <v>623</v>
      </c>
    </row>
    <row r="309" ht="15.75" customHeight="1">
      <c r="A309" s="6" t="str">
        <f t="shared" si="1"/>
        <v>11-04</v>
      </c>
      <c r="B309" s="6" t="s">
        <v>624</v>
      </c>
      <c r="C309" s="7" t="s">
        <v>625</v>
      </c>
    </row>
    <row r="310" ht="15.75" customHeight="1">
      <c r="A310" s="6" t="str">
        <f t="shared" si="1"/>
        <v>11-05</v>
      </c>
      <c r="B310" s="6" t="s">
        <v>626</v>
      </c>
      <c r="C310" s="7" t="s">
        <v>627</v>
      </c>
    </row>
    <row r="311" ht="15.75" customHeight="1">
      <c r="A311" s="6" t="str">
        <f t="shared" si="1"/>
        <v>11-06</v>
      </c>
      <c r="B311" s="6" t="s">
        <v>628</v>
      </c>
      <c r="C311" s="7" t="s">
        <v>629</v>
      </c>
    </row>
    <row r="312" ht="15.75" customHeight="1">
      <c r="A312" s="6" t="str">
        <f t="shared" si="1"/>
        <v>11-07</v>
      </c>
      <c r="B312" s="6" t="s">
        <v>630</v>
      </c>
      <c r="C312" s="7" t="s">
        <v>631</v>
      </c>
    </row>
    <row r="313" ht="15.75" customHeight="1">
      <c r="A313" s="6" t="str">
        <f t="shared" si="1"/>
        <v>11-08</v>
      </c>
      <c r="B313" s="6" t="s">
        <v>632</v>
      </c>
      <c r="C313" s="7" t="s">
        <v>633</v>
      </c>
    </row>
    <row r="314" ht="15.75" customHeight="1">
      <c r="A314" s="6" t="str">
        <f t="shared" si="1"/>
        <v>11-09</v>
      </c>
      <c r="B314" s="6" t="s">
        <v>634</v>
      </c>
      <c r="C314" s="7" t="s">
        <v>635</v>
      </c>
    </row>
    <row r="315" ht="15.75" customHeight="1">
      <c r="A315" s="6" t="str">
        <f t="shared" si="1"/>
        <v>11-10</v>
      </c>
      <c r="B315" s="6" t="s">
        <v>636</v>
      </c>
      <c r="C315" s="7" t="s">
        <v>637</v>
      </c>
    </row>
    <row r="316" ht="15.75" customHeight="1">
      <c r="A316" s="6" t="str">
        <f t="shared" si="1"/>
        <v>11-11</v>
      </c>
      <c r="B316" s="6" t="s">
        <v>638</v>
      </c>
      <c r="C316" s="7" t="s">
        <v>639</v>
      </c>
    </row>
    <row r="317" ht="15.75" customHeight="1">
      <c r="A317" s="6" t="str">
        <f t="shared" si="1"/>
        <v>11-12</v>
      </c>
      <c r="B317" s="6" t="s">
        <v>640</v>
      </c>
      <c r="C317" s="7" t="s">
        <v>641</v>
      </c>
    </row>
    <row r="318" ht="15.75" customHeight="1">
      <c r="A318" s="6" t="str">
        <f t="shared" si="1"/>
        <v>11-13</v>
      </c>
      <c r="B318" s="6" t="s">
        <v>642</v>
      </c>
      <c r="C318" s="7" t="s">
        <v>643</v>
      </c>
    </row>
    <row r="319" ht="15.75" customHeight="1">
      <c r="A319" s="6" t="str">
        <f t="shared" si="1"/>
        <v>11-14</v>
      </c>
      <c r="B319" s="6" t="s">
        <v>644</v>
      </c>
      <c r="C319" s="7" t="s">
        <v>645</v>
      </c>
    </row>
    <row r="320" ht="15.75" customHeight="1">
      <c r="A320" s="6" t="str">
        <f t="shared" si="1"/>
        <v>11-15</v>
      </c>
      <c r="B320" s="6" t="s">
        <v>646</v>
      </c>
      <c r="C320" s="7" t="s">
        <v>647</v>
      </c>
    </row>
    <row r="321" ht="15.75" customHeight="1">
      <c r="A321" s="6" t="str">
        <f t="shared" si="1"/>
        <v>11-16</v>
      </c>
      <c r="B321" s="6" t="s">
        <v>648</v>
      </c>
      <c r="C321" s="7" t="s">
        <v>649</v>
      </c>
    </row>
    <row r="322" ht="15.75" customHeight="1">
      <c r="A322" s="6" t="str">
        <f t="shared" si="1"/>
        <v>11-17</v>
      </c>
      <c r="B322" s="6" t="s">
        <v>650</v>
      </c>
      <c r="C322" s="7" t="s">
        <v>651</v>
      </c>
    </row>
    <row r="323" ht="15.75" customHeight="1">
      <c r="A323" s="6" t="str">
        <f t="shared" si="1"/>
        <v>11-18</v>
      </c>
      <c r="B323" s="6" t="s">
        <v>652</v>
      </c>
      <c r="C323" s="7" t="s">
        <v>653</v>
      </c>
    </row>
    <row r="324" ht="15.75" customHeight="1">
      <c r="A324" s="6" t="str">
        <f t="shared" si="1"/>
        <v>11-19</v>
      </c>
      <c r="B324" s="6" t="s">
        <v>654</v>
      </c>
      <c r="C324" s="7" t="s">
        <v>655</v>
      </c>
    </row>
    <row r="325" ht="15.75" customHeight="1">
      <c r="A325" s="6" t="str">
        <f t="shared" si="1"/>
        <v>11-20</v>
      </c>
      <c r="B325" s="6" t="s">
        <v>656</v>
      </c>
      <c r="C325" s="7" t="s">
        <v>657</v>
      </c>
    </row>
    <row r="326" ht="15.75" customHeight="1">
      <c r="A326" s="6" t="str">
        <f t="shared" si="1"/>
        <v>11-21</v>
      </c>
      <c r="B326" s="6" t="s">
        <v>658</v>
      </c>
      <c r="C326" s="7" t="s">
        <v>659</v>
      </c>
    </row>
    <row r="327" ht="15.75" customHeight="1">
      <c r="A327" s="6" t="str">
        <f t="shared" si="1"/>
        <v>11-22</v>
      </c>
      <c r="B327" s="6" t="s">
        <v>660</v>
      </c>
      <c r="C327" s="7" t="s">
        <v>661</v>
      </c>
    </row>
    <row r="328" ht="15.75" customHeight="1">
      <c r="A328" s="6" t="str">
        <f t="shared" si="1"/>
        <v>11-23</v>
      </c>
      <c r="B328" s="6" t="s">
        <v>662</v>
      </c>
      <c r="C328" s="7" t="s">
        <v>663</v>
      </c>
    </row>
    <row r="329" ht="15.75" customHeight="1">
      <c r="A329" s="6" t="str">
        <f t="shared" si="1"/>
        <v>11-24</v>
      </c>
      <c r="B329" s="6" t="s">
        <v>664</v>
      </c>
      <c r="C329" s="7" t="s">
        <v>665</v>
      </c>
    </row>
    <row r="330" ht="15.75" customHeight="1">
      <c r="A330" s="6" t="str">
        <f t="shared" si="1"/>
        <v>11-25</v>
      </c>
      <c r="B330" s="6" t="s">
        <v>666</v>
      </c>
      <c r="C330" s="7" t="s">
        <v>667</v>
      </c>
    </row>
    <row r="331" ht="15.75" customHeight="1">
      <c r="A331" s="6" t="str">
        <f t="shared" si="1"/>
        <v>11-26</v>
      </c>
      <c r="B331" s="6" t="s">
        <v>668</v>
      </c>
      <c r="C331" s="7" t="s">
        <v>669</v>
      </c>
    </row>
    <row r="332" ht="15.75" customHeight="1">
      <c r="A332" s="6" t="str">
        <f t="shared" si="1"/>
        <v>11-27</v>
      </c>
      <c r="B332" s="6" t="s">
        <v>670</v>
      </c>
      <c r="C332" s="7" t="s">
        <v>671</v>
      </c>
    </row>
    <row r="333" ht="15.75" customHeight="1">
      <c r="A333" s="6" t="str">
        <f t="shared" si="1"/>
        <v>11-28</v>
      </c>
      <c r="B333" s="6" t="s">
        <v>672</v>
      </c>
      <c r="C333" s="7" t="s">
        <v>673</v>
      </c>
    </row>
    <row r="334" ht="15.75" customHeight="1">
      <c r="A334" s="6" t="str">
        <f t="shared" si="1"/>
        <v>11-29</v>
      </c>
      <c r="B334" s="6" t="s">
        <v>674</v>
      </c>
      <c r="C334" s="7" t="s">
        <v>675</v>
      </c>
    </row>
    <row r="335" ht="15.75" customHeight="1">
      <c r="A335" s="6" t="str">
        <f t="shared" si="1"/>
        <v>11-30</v>
      </c>
      <c r="B335" s="6" t="s">
        <v>676</v>
      </c>
      <c r="C335" s="7" t="s">
        <v>677</v>
      </c>
    </row>
    <row r="336" ht="15.75" customHeight="1">
      <c r="A336" s="6" t="str">
        <f t="shared" si="1"/>
        <v>12-01</v>
      </c>
      <c r="B336" s="6" t="s">
        <v>678</v>
      </c>
      <c r="C336" s="7" t="s">
        <v>679</v>
      </c>
    </row>
    <row r="337" ht="15.75" customHeight="1">
      <c r="A337" s="6" t="str">
        <f t="shared" si="1"/>
        <v>12-02</v>
      </c>
      <c r="B337" s="6" t="s">
        <v>680</v>
      </c>
      <c r="C337" s="7" t="s">
        <v>681</v>
      </c>
    </row>
    <row r="338" ht="15.75" customHeight="1">
      <c r="A338" s="6" t="str">
        <f t="shared" si="1"/>
        <v>12-03</v>
      </c>
      <c r="B338" s="6" t="s">
        <v>682</v>
      </c>
      <c r="C338" s="7" t="s">
        <v>683</v>
      </c>
    </row>
    <row r="339" ht="15.75" customHeight="1">
      <c r="A339" s="6" t="str">
        <f t="shared" si="1"/>
        <v>12-04</v>
      </c>
      <c r="B339" s="6" t="s">
        <v>684</v>
      </c>
      <c r="C339" s="7" t="s">
        <v>685</v>
      </c>
    </row>
    <row r="340" ht="15.75" customHeight="1">
      <c r="A340" s="6" t="str">
        <f t="shared" si="1"/>
        <v>12-05</v>
      </c>
      <c r="B340" s="6" t="s">
        <v>686</v>
      </c>
      <c r="C340" s="7" t="s">
        <v>687</v>
      </c>
    </row>
    <row r="341" ht="15.75" customHeight="1">
      <c r="A341" s="6" t="str">
        <f t="shared" si="1"/>
        <v>12-06</v>
      </c>
      <c r="B341" s="6" t="s">
        <v>688</v>
      </c>
      <c r="C341" s="7" t="s">
        <v>689</v>
      </c>
    </row>
    <row r="342" ht="15.75" customHeight="1">
      <c r="A342" s="6" t="str">
        <f t="shared" si="1"/>
        <v>12-07</v>
      </c>
      <c r="B342" s="6" t="s">
        <v>690</v>
      </c>
      <c r="C342" s="7" t="s">
        <v>691</v>
      </c>
    </row>
    <row r="343" ht="15.75" customHeight="1">
      <c r="A343" s="6" t="str">
        <f t="shared" si="1"/>
        <v>12-08</v>
      </c>
      <c r="B343" s="6" t="s">
        <v>692</v>
      </c>
      <c r="C343" s="7" t="s">
        <v>693</v>
      </c>
    </row>
    <row r="344" ht="15.75" customHeight="1">
      <c r="A344" s="6" t="str">
        <f t="shared" si="1"/>
        <v>12-09</v>
      </c>
      <c r="B344" s="6" t="s">
        <v>694</v>
      </c>
      <c r="C344" s="7" t="s">
        <v>695</v>
      </c>
    </row>
    <row r="345" ht="15.75" customHeight="1">
      <c r="A345" s="6" t="str">
        <f t="shared" si="1"/>
        <v>12-10</v>
      </c>
      <c r="B345" s="6" t="s">
        <v>696</v>
      </c>
      <c r="C345" s="7" t="s">
        <v>697</v>
      </c>
    </row>
    <row r="346" ht="15.75" customHeight="1">
      <c r="A346" s="6" t="str">
        <f t="shared" si="1"/>
        <v>12-11</v>
      </c>
      <c r="B346" s="6" t="s">
        <v>698</v>
      </c>
      <c r="C346" s="7" t="s">
        <v>699</v>
      </c>
    </row>
    <row r="347" ht="15.75" customHeight="1">
      <c r="A347" s="6" t="str">
        <f t="shared" si="1"/>
        <v>12-12</v>
      </c>
      <c r="B347" s="6" t="s">
        <v>700</v>
      </c>
      <c r="C347" s="7" t="s">
        <v>701</v>
      </c>
    </row>
    <row r="348" ht="15.75" customHeight="1">
      <c r="A348" s="6" t="str">
        <f t="shared" si="1"/>
        <v>12-13</v>
      </c>
      <c r="B348" s="6" t="s">
        <v>702</v>
      </c>
      <c r="C348" s="7" t="s">
        <v>703</v>
      </c>
    </row>
    <row r="349" ht="15.75" customHeight="1">
      <c r="A349" s="6" t="str">
        <f t="shared" si="1"/>
        <v>12-14</v>
      </c>
      <c r="B349" s="6" t="s">
        <v>704</v>
      </c>
      <c r="C349" s="7" t="s">
        <v>705</v>
      </c>
    </row>
    <row r="350" ht="15.75" customHeight="1">
      <c r="A350" s="6" t="str">
        <f t="shared" si="1"/>
        <v>12-15</v>
      </c>
      <c r="B350" s="6" t="s">
        <v>706</v>
      </c>
      <c r="C350" s="7" t="s">
        <v>707</v>
      </c>
    </row>
    <row r="351" ht="15.75" customHeight="1">
      <c r="A351" s="6" t="str">
        <f t="shared" si="1"/>
        <v>12-16</v>
      </c>
      <c r="B351" s="6" t="s">
        <v>708</v>
      </c>
      <c r="C351" s="7" t="s">
        <v>709</v>
      </c>
    </row>
    <row r="352" ht="15.75" customHeight="1">
      <c r="A352" s="6" t="str">
        <f t="shared" si="1"/>
        <v>12-17</v>
      </c>
      <c r="B352" s="6" t="s">
        <v>710</v>
      </c>
      <c r="C352" s="7" t="s">
        <v>711</v>
      </c>
    </row>
    <row r="353" ht="15.75" customHeight="1">
      <c r="A353" s="6" t="str">
        <f t="shared" si="1"/>
        <v>12-18</v>
      </c>
      <c r="B353" s="6" t="s">
        <v>712</v>
      </c>
      <c r="C353" s="7" t="s">
        <v>713</v>
      </c>
    </row>
    <row r="354" ht="15.75" customHeight="1">
      <c r="A354" s="6" t="str">
        <f t="shared" si="1"/>
        <v>12-19</v>
      </c>
      <c r="B354" s="6" t="s">
        <v>714</v>
      </c>
      <c r="C354" s="7" t="s">
        <v>715</v>
      </c>
    </row>
    <row r="355" ht="15.75" customHeight="1">
      <c r="A355" s="6" t="str">
        <f t="shared" si="1"/>
        <v>12-20</v>
      </c>
      <c r="B355" s="6" t="s">
        <v>716</v>
      </c>
      <c r="C355" s="7" t="s">
        <v>717</v>
      </c>
    </row>
    <row r="356" ht="15.75" customHeight="1">
      <c r="A356" s="6" t="str">
        <f t="shared" si="1"/>
        <v>12-21</v>
      </c>
      <c r="B356" s="6" t="s">
        <v>718</v>
      </c>
      <c r="C356" s="7" t="s">
        <v>719</v>
      </c>
    </row>
    <row r="357" ht="15.75" customHeight="1">
      <c r="A357" s="6" t="str">
        <f t="shared" si="1"/>
        <v>12-22</v>
      </c>
      <c r="B357" s="6" t="s">
        <v>720</v>
      </c>
      <c r="C357" s="7" t="s">
        <v>721</v>
      </c>
    </row>
    <row r="358" ht="15.75" customHeight="1">
      <c r="A358" s="6" t="str">
        <f t="shared" si="1"/>
        <v>12-23</v>
      </c>
      <c r="B358" s="6" t="s">
        <v>722</v>
      </c>
      <c r="C358" s="7" t="s">
        <v>723</v>
      </c>
    </row>
    <row r="359" ht="15.75" customHeight="1">
      <c r="A359" s="6" t="str">
        <f t="shared" si="1"/>
        <v>12-24</v>
      </c>
      <c r="B359" s="6" t="s">
        <v>724</v>
      </c>
      <c r="C359" s="7" t="s">
        <v>725</v>
      </c>
    </row>
    <row r="360" ht="15.75" customHeight="1">
      <c r="A360" s="6" t="str">
        <f t="shared" si="1"/>
        <v>12-25</v>
      </c>
      <c r="B360" s="6" t="s">
        <v>726</v>
      </c>
      <c r="C360" s="7" t="s">
        <v>727</v>
      </c>
    </row>
    <row r="361" ht="15.75" customHeight="1">
      <c r="A361" s="6" t="str">
        <f t="shared" si="1"/>
        <v>12-26</v>
      </c>
      <c r="B361" s="6" t="s">
        <v>728</v>
      </c>
      <c r="C361" s="7" t="s">
        <v>729</v>
      </c>
    </row>
    <row r="362" ht="15.75" customHeight="1">
      <c r="A362" s="6" t="str">
        <f t="shared" si="1"/>
        <v>12-27</v>
      </c>
      <c r="B362" s="6" t="s">
        <v>730</v>
      </c>
      <c r="C362" s="7" t="s">
        <v>731</v>
      </c>
    </row>
    <row r="363" ht="15.75" customHeight="1">
      <c r="A363" s="6" t="str">
        <f t="shared" si="1"/>
        <v>12-28</v>
      </c>
      <c r="B363" s="6" t="s">
        <v>732</v>
      </c>
      <c r="C363" s="7" t="s">
        <v>733</v>
      </c>
    </row>
    <row r="364" ht="15.75" customHeight="1">
      <c r="A364" s="6" t="str">
        <f t="shared" si="1"/>
        <v>12-29</v>
      </c>
      <c r="B364" s="6" t="s">
        <v>734</v>
      </c>
      <c r="C364" s="7" t="s">
        <v>735</v>
      </c>
    </row>
    <row r="365" ht="15.75" customHeight="1">
      <c r="A365" s="6" t="str">
        <f t="shared" si="1"/>
        <v>12-30</v>
      </c>
      <c r="B365" s="6" t="s">
        <v>736</v>
      </c>
      <c r="C365" s="7" t="s">
        <v>737</v>
      </c>
    </row>
    <row r="366" ht="15.75" customHeight="1">
      <c r="A366" s="6" t="str">
        <f t="shared" si="1"/>
        <v>12-31</v>
      </c>
      <c r="B366" s="6" t="s">
        <v>738</v>
      </c>
      <c r="C366" s="7" t="s">
        <v>739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18.0"/>
    <col customWidth="1" hidden="1" min="9" max="11" width="3.0"/>
    <col customWidth="1" min="12" max="27" width="9.14"/>
  </cols>
  <sheetData>
    <row r="1" ht="27.75" customHeight="1">
      <c r="A1" s="8"/>
      <c r="B1" s="8"/>
      <c r="C1" s="8"/>
      <c r="D1" s="8"/>
      <c r="E1" s="8"/>
      <c r="F1" s="8"/>
      <c r="G1" s="8"/>
      <c r="H1" s="8"/>
      <c r="I1" s="9"/>
      <c r="J1" s="9"/>
      <c r="K1" s="10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27.75" customHeight="1">
      <c r="A2" s="8"/>
      <c r="B2" s="11" t="s">
        <v>740</v>
      </c>
      <c r="C2" s="12"/>
      <c r="D2" s="12"/>
      <c r="E2" s="12"/>
      <c r="F2" s="12"/>
      <c r="G2" s="12"/>
      <c r="H2" s="13"/>
      <c r="K2" s="14">
        <v>1.0</v>
      </c>
    </row>
    <row r="3" ht="19.5" customHeight="1">
      <c r="A3" s="15"/>
      <c r="B3" s="16" t="s">
        <v>741</v>
      </c>
      <c r="C3" s="17" t="s">
        <v>742</v>
      </c>
      <c r="D3" s="17" t="s">
        <v>743</v>
      </c>
      <c r="E3" s="17" t="s">
        <v>744</v>
      </c>
      <c r="F3" s="17" t="s">
        <v>745</v>
      </c>
      <c r="G3" s="17" t="s">
        <v>746</v>
      </c>
      <c r="H3" s="18" t="s">
        <v>747</v>
      </c>
      <c r="K3" s="19">
        <f>DATE(CONFIG!$B$1,$K$2,1)</f>
        <v>46023</v>
      </c>
    </row>
    <row r="4" ht="15.75" customHeight="1">
      <c r="A4" s="20"/>
      <c r="B4" s="21" t="str">
        <f t="shared" ref="B4:H4" si="1">IF((($I4*7 + COLUMN()-COLUMN($B$4)+1) - $K$4 + 1)&lt;1,"",IF((($I4*7 + COLUMN()-COLUMN($B$4)+1) - $K$4 + 1)&gt;$K$5,"",(($I4*7 + COLUMN()-COLUMN($B$4)+1) - $K$4 + 1)))</f>
        <v/>
      </c>
      <c r="C4" s="22" t="str">
        <f t="shared" si="1"/>
        <v/>
      </c>
      <c r="D4" s="22" t="str">
        <f t="shared" si="1"/>
        <v/>
      </c>
      <c r="E4" s="22" t="str">
        <f t="shared" si="1"/>
        <v/>
      </c>
      <c r="F4" s="22">
        <f t="shared" si="1"/>
        <v>1</v>
      </c>
      <c r="G4" s="22">
        <f t="shared" si="1"/>
        <v>2</v>
      </c>
      <c r="H4" s="23">
        <f t="shared" si="1"/>
        <v>3</v>
      </c>
      <c r="I4" s="6">
        <v>0.0</v>
      </c>
      <c r="K4" s="14">
        <f>WEEKDAY($K$3,1)</f>
        <v>5</v>
      </c>
    </row>
    <row r="5" ht="54.0" customHeight="1">
      <c r="A5" s="24"/>
      <c r="B5" s="25" t="str">
        <f>IF(B4="","",IFERROR(VLOOKUP(TEXT(DATE(CONFIG!$B$1,$K$2,B4),"mm-dd"),LECTURAS!$A$2:$B$1000,2,FALSE),""))</f>
        <v/>
      </c>
      <c r="C5" s="26" t="str">
        <f>IF(C4="","",IFERROR(VLOOKUP(TEXT(DATE(CONFIG!$B$1,$K$2,C4),"mm-dd"),LECTURAS!$A$2:$B$1000,2,FALSE),""))</f>
        <v/>
      </c>
      <c r="D5" s="26" t="str">
        <f>IF(D4="","",IFERROR(VLOOKUP(TEXT(DATE(CONFIG!$B$1,$K$2,D4),"mm-dd"),LECTURAS!$A$2:$B$1000,2,FALSE),""))</f>
        <v/>
      </c>
      <c r="E5" s="26" t="str">
        <f>IF(E4="","",IFERROR(VLOOKUP(TEXT(DATE(CONFIG!$B$1,$K$2,E4),"mm-dd"),LECTURAS!$A$2:$B$1000,2,FALSE),""))</f>
        <v/>
      </c>
      <c r="F5" s="26" t="str">
        <f>IF(F4="","",IFERROR(VLOOKUP(TEXT(DATE(CONFIG!$B$1,$K$2,F4),"mm-dd"),LECTURAS!$A$2:$B$1000,2,FALSE),""))</f>
        <v>Génesis 1–3; Juan 1–2</v>
      </c>
      <c r="G5" s="26" t="str">
        <f>IF(G4="","",IFERROR(VLOOKUP(TEXT(DATE(CONFIG!$B$1,$K$2,G4),"mm-dd"),LECTURAS!$A$2:$B$1000,2,FALSE),""))</f>
        <v>Génesis 4–5; Juan 3</v>
      </c>
      <c r="H5" s="27" t="str">
        <f>IF(H4="","",IFERROR(VLOOKUP(TEXT(DATE(CONFIG!$B$1,$K$2,H4),"mm-dd"),LECTURAS!$A$2:$B$1000,2,FALSE),""))</f>
        <v>Génesis 6–7; Juan 4</v>
      </c>
      <c r="I5" s="6">
        <v>0.0</v>
      </c>
      <c r="K5" s="14">
        <f>DAY(EOMONTH($K$3,0))</f>
        <v>31</v>
      </c>
    </row>
    <row r="6" ht="15.75" customHeight="1">
      <c r="A6" s="20"/>
      <c r="B6" s="21">
        <f t="shared" ref="B6:H6" si="2">IF((($I6*7 + COLUMN()-COLUMN($B$6)+1) - $K$4 + 1)&lt;1,"",IF((($I6*7 + COLUMN()-COLUMN($B$6)+1) - $K$4 + 1)&gt;$K$5,"",(($I6*7 + COLUMN()-COLUMN($B$6)+1) - $K$4 + 1)))</f>
        <v>4</v>
      </c>
      <c r="C6" s="22">
        <f t="shared" si="2"/>
        <v>5</v>
      </c>
      <c r="D6" s="22">
        <f t="shared" si="2"/>
        <v>6</v>
      </c>
      <c r="E6" s="22">
        <f t="shared" si="2"/>
        <v>7</v>
      </c>
      <c r="F6" s="22">
        <f t="shared" si="2"/>
        <v>8</v>
      </c>
      <c r="G6" s="22">
        <f t="shared" si="2"/>
        <v>9</v>
      </c>
      <c r="H6" s="23">
        <f t="shared" si="2"/>
        <v>10</v>
      </c>
      <c r="I6" s="6">
        <v>1.0</v>
      </c>
    </row>
    <row r="7" ht="54.0" customHeight="1">
      <c r="A7" s="24"/>
      <c r="B7" s="25" t="str">
        <f>IF(B6="","",IFERROR(VLOOKUP(TEXT(DATE(CONFIG!$B$1,$K$2,B6),"mm-dd"),LECTURAS!$A$2:$B$1000,2,FALSE),""))</f>
        <v>Génesis 8–9; Juan 5</v>
      </c>
      <c r="C7" s="26" t="str">
        <f>IF(C6="","",IFERROR(VLOOKUP(TEXT(DATE(CONFIG!$B$1,$K$2,C6),"mm-dd"),LECTURAS!$A$2:$B$1000,2,FALSE),""))</f>
        <v>Génesis 10–11; Juan 6</v>
      </c>
      <c r="D7" s="26" t="str">
        <f>IF(D6="","",IFERROR(VLOOKUP(TEXT(DATE(CONFIG!$B$1,$K$2,D6),"mm-dd"),LECTURAS!$A$2:$B$1000,2,FALSE),""))</f>
        <v>Génesis 12–13; Juan 7</v>
      </c>
      <c r="E7" s="26" t="str">
        <f>IF(E6="","",IFERROR(VLOOKUP(TEXT(DATE(CONFIG!$B$1,$K$2,E6),"mm-dd"),LECTURAS!$A$2:$B$1000,2,FALSE),""))</f>
        <v>Génesis 14–15; Juan 8</v>
      </c>
      <c r="F7" s="26" t="str">
        <f>IF(F6="","",IFERROR(VLOOKUP(TEXT(DATE(CONFIG!$B$1,$K$2,F6),"mm-dd"),LECTURAS!$A$2:$B$1000,2,FALSE),""))</f>
        <v>Génesis 16–18; Juan 9–10</v>
      </c>
      <c r="G7" s="26" t="str">
        <f>IF(G6="","",IFERROR(VLOOKUP(TEXT(DATE(CONFIG!$B$1,$K$2,G6),"mm-dd"),LECTURAS!$A$2:$B$1000,2,FALSE),""))</f>
        <v>Génesis 19–20; Juan 11</v>
      </c>
      <c r="H7" s="27" t="str">
        <f>IF(H6="","",IFERROR(VLOOKUP(TEXT(DATE(CONFIG!$B$1,$K$2,H6),"mm-dd"),LECTURAS!$A$2:$B$1000,2,FALSE),""))</f>
        <v>Génesis 21–22; Juan 12</v>
      </c>
      <c r="I7" s="6">
        <v>1.0</v>
      </c>
    </row>
    <row r="8" ht="15.75" customHeight="1">
      <c r="A8" s="20"/>
      <c r="B8" s="21">
        <f t="shared" ref="B8:H8" si="3">IF((($I8*7 + COLUMN()-COLUMN($B$8)+1) - $K$4 + 1)&lt;1,"",IF((($I8*7 + COLUMN()-COLUMN($B$8)+1) - $K$4 + 1)&gt;$K$5,"",(($I8*7 + COLUMN()-COLUMN($B$8)+1) - $K$4 + 1)))</f>
        <v>11</v>
      </c>
      <c r="C8" s="22">
        <f t="shared" si="3"/>
        <v>12</v>
      </c>
      <c r="D8" s="22">
        <f t="shared" si="3"/>
        <v>13</v>
      </c>
      <c r="E8" s="22">
        <f t="shared" si="3"/>
        <v>14</v>
      </c>
      <c r="F8" s="22">
        <f t="shared" si="3"/>
        <v>15</v>
      </c>
      <c r="G8" s="22">
        <f t="shared" si="3"/>
        <v>16</v>
      </c>
      <c r="H8" s="23">
        <f t="shared" si="3"/>
        <v>17</v>
      </c>
      <c r="I8" s="6">
        <v>2.0</v>
      </c>
    </row>
    <row r="9" ht="54.0" customHeight="1">
      <c r="A9" s="24"/>
      <c r="B9" s="25" t="str">
        <f>IF(B8="","",IFERROR(VLOOKUP(TEXT(DATE(CONFIG!$B$1,$K$2,B8),"mm-dd"),LECTURAS!$A$2:$B$1000,2,FALSE),""))</f>
        <v>Génesis 23–24; Juan 13</v>
      </c>
      <c r="C9" s="26" t="str">
        <f>IF(C8="","",IFERROR(VLOOKUP(TEXT(DATE(CONFIG!$B$1,$K$2,C8),"mm-dd"),LECTURAS!$A$2:$B$1000,2,FALSE),""))</f>
        <v>Génesis 25–26; Juan 14</v>
      </c>
      <c r="D9" s="26" t="str">
        <f>IF(D8="","",IFERROR(VLOOKUP(TEXT(DATE(CONFIG!$B$1,$K$2,D8),"mm-dd"),LECTURAS!$A$2:$B$1000,2,FALSE),""))</f>
        <v>Génesis 27–28; Juan 15</v>
      </c>
      <c r="E9" s="26" t="str">
        <f>IF(E8="","",IFERROR(VLOOKUP(TEXT(DATE(CONFIG!$B$1,$K$2,E8),"mm-dd"),LECTURAS!$A$2:$B$1000,2,FALSE),""))</f>
        <v>Génesis 29–30; Juan 16</v>
      </c>
      <c r="F9" s="26" t="str">
        <f>IF(F8="","",IFERROR(VLOOKUP(TEXT(DATE(CONFIG!$B$1,$K$2,F8),"mm-dd"),LECTURAS!$A$2:$B$1000,2,FALSE),""))</f>
        <v>Génesis 31–34; Juan 17</v>
      </c>
      <c r="G9" s="26" t="str">
        <f>IF(G8="","",IFERROR(VLOOKUP(TEXT(DATE(CONFIG!$B$1,$K$2,G8),"mm-dd"),LECTURAS!$A$2:$B$1000,2,FALSE),""))</f>
        <v>Génesis 35–36; Juan 18</v>
      </c>
      <c r="H9" s="27" t="str">
        <f>IF(H8="","",IFERROR(VLOOKUP(TEXT(DATE(CONFIG!$B$1,$K$2,H8),"mm-dd"),LECTURAS!$A$2:$B$1000,2,FALSE),""))</f>
        <v>Génesis 37–38; Juan 19</v>
      </c>
      <c r="I9" s="6">
        <v>2.0</v>
      </c>
    </row>
    <row r="10" ht="15.75" customHeight="1">
      <c r="A10" s="20"/>
      <c r="B10" s="21">
        <f t="shared" ref="B10:H10" si="4">IF((($I10*7 + COLUMN()-COLUMN($B$10)+1) - $K$4 + 1)&lt;1,"",IF((($I10*7 + COLUMN()-COLUMN($B$10)+1) - $K$4 + 1)&gt;$K$5,"",(($I10*7 + COLUMN()-COLUMN($B$10)+1) - $K$4 + 1)))</f>
        <v>18</v>
      </c>
      <c r="C10" s="22">
        <f t="shared" si="4"/>
        <v>19</v>
      </c>
      <c r="D10" s="22">
        <f t="shared" si="4"/>
        <v>20</v>
      </c>
      <c r="E10" s="22">
        <f t="shared" si="4"/>
        <v>21</v>
      </c>
      <c r="F10" s="22">
        <f t="shared" si="4"/>
        <v>22</v>
      </c>
      <c r="G10" s="22">
        <f t="shared" si="4"/>
        <v>23</v>
      </c>
      <c r="H10" s="23">
        <f t="shared" si="4"/>
        <v>24</v>
      </c>
      <c r="I10" s="6">
        <v>3.0</v>
      </c>
    </row>
    <row r="11" ht="54.0" customHeight="1">
      <c r="A11" s="24"/>
      <c r="B11" s="25" t="str">
        <f>IF(B10="","",IFERROR(VLOOKUP(TEXT(DATE(CONFIG!$B$1,$K$2,B10),"mm-dd"),LECTURAS!$A$2:$B$1000,2,FALSE),""))</f>
        <v>Génesis 39–40; Juan 20</v>
      </c>
      <c r="C11" s="26" t="str">
        <f>IF(C10="","",IFERROR(VLOOKUP(TEXT(DATE(CONFIG!$B$1,$K$2,C10),"mm-dd"),LECTURAS!$A$2:$B$1000,2,FALSE),""))</f>
        <v>Génesis 41–42; Juan 21</v>
      </c>
      <c r="D11" s="26" t="str">
        <f>IF(D10="","",IFERROR(VLOOKUP(TEXT(DATE(CONFIG!$B$1,$K$2,D10),"mm-dd"),LECTURAS!$A$2:$B$1000,2,FALSE),""))</f>
        <v>Génesis 43–45</v>
      </c>
      <c r="E11" s="26" t="str">
        <f>IF(E10="","",IFERROR(VLOOKUP(TEXT(DATE(CONFIG!$B$1,$K$2,E10),"mm-dd"),LECTURAS!$A$2:$B$1000,2,FALSE),""))</f>
        <v>Génesis 46–48</v>
      </c>
      <c r="F11" s="26" t="str">
        <f>IF(F10="","",IFERROR(VLOOKUP(TEXT(DATE(CONFIG!$B$1,$K$2,F10),"mm-dd"),LECTURAS!$A$2:$B$1000,2,FALSE),""))</f>
        <v>Génesis 49–50; Éxodo 1–3</v>
      </c>
      <c r="G11" s="26" t="str">
        <f>IF(G10="","",IFERROR(VLOOKUP(TEXT(DATE(CONFIG!$B$1,$K$2,G10),"mm-dd"),LECTURAS!$A$2:$B$1000,2,FALSE),""))</f>
        <v>Éxodo 4–5; Romanos 1</v>
      </c>
      <c r="H11" s="27" t="str">
        <f>IF(H10="","",IFERROR(VLOOKUP(TEXT(DATE(CONFIG!$B$1,$K$2,H10),"mm-dd"),LECTURAS!$A$2:$B$1000,2,FALSE),""))</f>
        <v>Éxodo 6–7; Romanos 2</v>
      </c>
      <c r="I11" s="6">
        <v>3.0</v>
      </c>
    </row>
    <row r="12" ht="15.75" customHeight="1">
      <c r="A12" s="20"/>
      <c r="B12" s="21">
        <f t="shared" ref="B12:H12" si="5">IF((($I12*7 + COLUMN()-COLUMN($B$12)+1) - $K$4 + 1)&lt;1,"",IF((($I12*7 + COLUMN()-COLUMN($B$12)+1) - $K$4 + 1)&gt;$K$5,"",(($I12*7 + COLUMN()-COLUMN($B$12)+1) - $K$4 + 1)))</f>
        <v>25</v>
      </c>
      <c r="C12" s="22">
        <f t="shared" si="5"/>
        <v>26</v>
      </c>
      <c r="D12" s="22">
        <f t="shared" si="5"/>
        <v>27</v>
      </c>
      <c r="E12" s="22">
        <f t="shared" si="5"/>
        <v>28</v>
      </c>
      <c r="F12" s="22">
        <f t="shared" si="5"/>
        <v>29</v>
      </c>
      <c r="G12" s="22">
        <f t="shared" si="5"/>
        <v>30</v>
      </c>
      <c r="H12" s="23">
        <f t="shared" si="5"/>
        <v>31</v>
      </c>
      <c r="I12" s="6">
        <v>4.0</v>
      </c>
    </row>
    <row r="13" ht="54.0" customHeight="1">
      <c r="A13" s="24"/>
      <c r="B13" s="25" t="str">
        <f>IF(B12="","",IFERROR(VLOOKUP(TEXT(DATE(CONFIG!$B$1,$K$2,B12),"mm-dd"),LECTURAS!$A$2:$B$1000,2,FALSE),""))</f>
        <v>Éxodo 8–9; Romanos 3</v>
      </c>
      <c r="C13" s="26" t="str">
        <f>IF(C12="","",IFERROR(VLOOKUP(TEXT(DATE(CONFIG!$B$1,$K$2,C12),"mm-dd"),LECTURAS!$A$2:$B$1000,2,FALSE),""))</f>
        <v>Éxodo 10–11; Romanos 4</v>
      </c>
      <c r="D13" s="26" t="str">
        <f>IF(D12="","",IFERROR(VLOOKUP(TEXT(DATE(CONFIG!$B$1,$K$2,D12),"mm-dd"),LECTURAS!$A$2:$B$1000,2,FALSE),""))</f>
        <v>Éxodo 12–13; Romanos 5</v>
      </c>
      <c r="E13" s="26" t="str">
        <f>IF(E12="","",IFERROR(VLOOKUP(TEXT(DATE(CONFIG!$B$1,$K$2,E12),"mm-dd"),LECTURAS!$A$2:$B$1000,2,FALSE),""))</f>
        <v>Éxodo 14–15; Romanos 6</v>
      </c>
      <c r="F13" s="26" t="str">
        <f>IF(F12="","",IFERROR(VLOOKUP(TEXT(DATE(CONFIG!$B$1,$K$2,F12),"mm-dd"),LECTURAS!$A$2:$B$1000,2,FALSE),""))</f>
        <v>Éxodo 16–20</v>
      </c>
      <c r="G13" s="26" t="str">
        <f>IF(G12="","",IFERROR(VLOOKUP(TEXT(DATE(CONFIG!$B$1,$K$2,G12),"mm-dd"),LECTURAS!$A$2:$B$1000,2,FALSE),""))</f>
        <v>Éxodo 21–22; Romanos 7</v>
      </c>
      <c r="H13" s="27" t="str">
        <f>IF(H12="","",IFERROR(VLOOKUP(TEXT(DATE(CONFIG!$B$1,$K$2,H12),"mm-dd"),LECTURAS!$A$2:$B$1000,2,FALSE),""))</f>
        <v>Éxodo 23–24; Romanos 8</v>
      </c>
      <c r="I13" s="6">
        <v>4.0</v>
      </c>
    </row>
    <row r="14" ht="15.75" customHeight="1">
      <c r="A14" s="20"/>
      <c r="B14" s="21" t="str">
        <f t="shared" ref="B14:H14" si="6">IF((($I14*7 + COLUMN()-COLUMN($B$14)+1) - $K$4 + 1)&lt;1,"",IF((($I14*7 + COLUMN()-COLUMN($B$14)+1) - $K$4 + 1)&gt;$K$5,"",(($I14*7 + COLUMN()-COLUMN($B$14)+1) - $K$4 + 1)))</f>
        <v/>
      </c>
      <c r="C14" s="22" t="str">
        <f t="shared" si="6"/>
        <v/>
      </c>
      <c r="D14" s="22" t="str">
        <f t="shared" si="6"/>
        <v/>
      </c>
      <c r="E14" s="22" t="str">
        <f t="shared" si="6"/>
        <v/>
      </c>
      <c r="F14" s="22" t="str">
        <f t="shared" si="6"/>
        <v/>
      </c>
      <c r="G14" s="22" t="str">
        <f t="shared" si="6"/>
        <v/>
      </c>
      <c r="H14" s="23" t="str">
        <f t="shared" si="6"/>
        <v/>
      </c>
      <c r="I14" s="6">
        <v>5.0</v>
      </c>
    </row>
    <row r="15" ht="54.0" customHeight="1">
      <c r="A15" s="24"/>
      <c r="B15" s="28" t="str">
        <f>IF(B14="","",IFERROR(VLOOKUP(TEXT(DATE(CONFIG!$B$1,$K$2,B14),"mm-dd"),LECTURAS!$A$2:$B$1000,2,FALSE),""))</f>
        <v/>
      </c>
      <c r="C15" s="29" t="str">
        <f>IF(C14="","",IFERROR(VLOOKUP(TEXT(DATE(CONFIG!$B$1,$K$2,C14),"mm-dd"),LECTURAS!$A$2:$B$1000,2,FALSE),""))</f>
        <v/>
      </c>
      <c r="D15" s="29" t="str">
        <f>IF(D14="","",IFERROR(VLOOKUP(TEXT(DATE(CONFIG!$B$1,$K$2,D14),"mm-dd"),LECTURAS!$A$2:$B$1000,2,FALSE),""))</f>
        <v/>
      </c>
      <c r="E15" s="29" t="str">
        <f>IF(E14="","",IFERROR(VLOOKUP(TEXT(DATE(CONFIG!$B$1,$K$2,E14),"mm-dd"),LECTURAS!$A$2:$B$1000,2,FALSE),""))</f>
        <v/>
      </c>
      <c r="F15" s="29" t="str">
        <f>IF(F14="","",IFERROR(VLOOKUP(TEXT(DATE(CONFIG!$B$1,$K$2,F14),"mm-dd"),LECTURAS!$A$2:$B$1000,2,FALSE),""))</f>
        <v/>
      </c>
      <c r="G15" s="29" t="str">
        <f>IF(G14="","",IFERROR(VLOOKUP(TEXT(DATE(CONFIG!$B$1,$K$2,G14),"mm-dd"),LECTURAS!$A$2:$B$1000,2,FALSE),""))</f>
        <v/>
      </c>
      <c r="H15" s="30" t="str">
        <f>IF(H14="","",IFERROR(VLOOKUP(TEXT(DATE(CONFIG!$B$1,$K$2,H14),"mm-dd"),LECTURAS!$A$2:$B$1000,2,FALSE),""))</f>
        <v/>
      </c>
      <c r="I15" s="6">
        <v>5.0</v>
      </c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  <row r="985" ht="15.75" customHeight="1">
      <c r="A985" s="9"/>
    </row>
    <row r="986" ht="15.75" customHeight="1">
      <c r="A986" s="9"/>
    </row>
    <row r="987" ht="15.75" customHeight="1">
      <c r="A987" s="9"/>
    </row>
    <row r="988" ht="15.75" customHeight="1">
      <c r="A988" s="9"/>
    </row>
    <row r="989" ht="15.75" customHeight="1">
      <c r="A989" s="9"/>
    </row>
    <row r="990" ht="15.75" customHeight="1">
      <c r="A990" s="9"/>
    </row>
    <row r="991" ht="15.75" customHeight="1">
      <c r="A991" s="9"/>
    </row>
    <row r="992" ht="15.75" customHeight="1">
      <c r="A992" s="9"/>
    </row>
    <row r="993" ht="15.75" customHeight="1">
      <c r="A993" s="9"/>
    </row>
    <row r="994" ht="15.75" customHeight="1">
      <c r="A994" s="9"/>
    </row>
    <row r="995" ht="15.75" customHeight="1">
      <c r="A995" s="9"/>
    </row>
    <row r="996" ht="15.75" customHeight="1">
      <c r="A996" s="9"/>
    </row>
    <row r="997" ht="15.75" customHeight="1">
      <c r="A997" s="9"/>
    </row>
    <row r="998" ht="15.75" customHeight="1">
      <c r="A998" s="9"/>
    </row>
    <row r="999" ht="15.75" customHeight="1">
      <c r="A999" s="9"/>
    </row>
    <row r="1000" ht="15.75" customHeight="1">
      <c r="A1000" s="9"/>
    </row>
    <row r="1001" ht="15.75" customHeight="1">
      <c r="A1001" s="9"/>
    </row>
  </sheetData>
  <mergeCells count="1">
    <mergeCell ref="B2:H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18.0"/>
    <col customWidth="1" hidden="1" min="9" max="10" width="3.0"/>
    <col customWidth="1" hidden="1" min="11" max="11" width="5.29"/>
    <col customWidth="1" min="12" max="27" width="9.14"/>
  </cols>
  <sheetData>
    <row r="1" ht="27.75" customHeight="1">
      <c r="A1" s="8"/>
      <c r="B1" s="8"/>
      <c r="C1" s="8"/>
      <c r="D1" s="8"/>
      <c r="E1" s="8"/>
      <c r="F1" s="8"/>
      <c r="G1" s="8"/>
      <c r="H1" s="8"/>
      <c r="I1" s="9"/>
      <c r="J1" s="9"/>
      <c r="K1" s="10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27.75" customHeight="1">
      <c r="A2" s="8"/>
      <c r="B2" s="11" t="s">
        <v>748</v>
      </c>
      <c r="C2" s="12"/>
      <c r="D2" s="12"/>
      <c r="E2" s="12"/>
      <c r="F2" s="12"/>
      <c r="G2" s="12"/>
      <c r="H2" s="13"/>
      <c r="K2" s="14">
        <v>2.0</v>
      </c>
    </row>
    <row r="3" ht="19.5" customHeight="1">
      <c r="A3" s="15"/>
      <c r="B3" s="16" t="s">
        <v>741</v>
      </c>
      <c r="C3" s="17" t="s">
        <v>742</v>
      </c>
      <c r="D3" s="17" t="s">
        <v>743</v>
      </c>
      <c r="E3" s="17" t="s">
        <v>744</v>
      </c>
      <c r="F3" s="17" t="s">
        <v>745</v>
      </c>
      <c r="G3" s="17" t="s">
        <v>746</v>
      </c>
      <c r="H3" s="18" t="s">
        <v>747</v>
      </c>
      <c r="K3" s="19">
        <f>DATE(CONFIG!$B$1,$K$2,1)</f>
        <v>46054</v>
      </c>
    </row>
    <row r="4" ht="15.75" customHeight="1">
      <c r="A4" s="20"/>
      <c r="B4" s="21">
        <f t="shared" ref="B4:H4" si="1">IF((($I4*7 + COLUMN()-COLUMN($B$4)+1) - $K$4 + 1)&lt;1,"",IF((($I4*7 + COLUMN()-COLUMN($B$4)+1) - $K$4 + 1)&gt;$K$5,"",(($I4*7 + COLUMN()-COLUMN($B$4)+1) - $K$4 + 1)))</f>
        <v>1</v>
      </c>
      <c r="C4" s="22">
        <f t="shared" si="1"/>
        <v>2</v>
      </c>
      <c r="D4" s="22">
        <f t="shared" si="1"/>
        <v>3</v>
      </c>
      <c r="E4" s="22">
        <f t="shared" si="1"/>
        <v>4</v>
      </c>
      <c r="F4" s="22">
        <f t="shared" si="1"/>
        <v>5</v>
      </c>
      <c r="G4" s="22">
        <f t="shared" si="1"/>
        <v>6</v>
      </c>
      <c r="H4" s="23">
        <f t="shared" si="1"/>
        <v>7</v>
      </c>
      <c r="I4" s="6">
        <v>0.0</v>
      </c>
      <c r="K4" s="14">
        <f>WEEKDAY($K$3,1)</f>
        <v>1</v>
      </c>
    </row>
    <row r="5" ht="54.0" customHeight="1">
      <c r="A5" s="24"/>
      <c r="B5" s="25" t="str">
        <f>IF(B4="","",IFERROR(VLOOKUP(TEXT(DATE(CONFIG!$B$1,$K$2,B4),"mm-dd"),LECTURAS!$A$2:$B$1000,2,FALSE),""))</f>
        <v> Éxodo 25–26; Romanos 9</v>
      </c>
      <c r="C5" s="26" t="str">
        <f>IF(C4="","",IFERROR(VLOOKUP(TEXT(DATE(CONFIG!$B$1,$K$2,C4),"mm-dd"),LECTURAS!$A$2:$B$1000,2,FALSE),""))</f>
        <v> Éxodo 27–28; Romanos 10</v>
      </c>
      <c r="D5" s="26" t="str">
        <f>IF(D4="","",IFERROR(VLOOKUP(TEXT(DATE(CONFIG!$B$1,$K$2,D4),"mm-dd"),LECTURAS!$A$2:$B$1000,2,FALSE),""))</f>
        <v> Éxodo 29–30; Romanos 11</v>
      </c>
      <c r="E5" s="26" t="str">
        <f>IF(E4="","",IFERROR(VLOOKUP(TEXT(DATE(CONFIG!$B$1,$K$2,E4),"mm-dd"),LECTURAS!$A$2:$B$1000,2,FALSE),""))</f>
        <v> Éxodo 31–32; Romanos 12</v>
      </c>
      <c r="F5" s="26" t="str">
        <f>IF(F4="","",IFERROR(VLOOKUP(TEXT(DATE(CONFIG!$B$1,$K$2,F4),"mm-dd"),LECTURAS!$A$2:$B$1000,2,FALSE),""))</f>
        <v> Éxodo 33–36; Romanos 13</v>
      </c>
      <c r="G5" s="26" t="str">
        <f>IF(G4="","",IFERROR(VLOOKUP(TEXT(DATE(CONFIG!$B$1,$K$2,G4),"mm-dd"),LECTURAS!$A$2:$B$1000,2,FALSE),""))</f>
        <v> Éxodo 37–38; Romanos 14</v>
      </c>
      <c r="H5" s="27" t="str">
        <f>IF(H4="","",IFERROR(VLOOKUP(TEXT(DATE(CONFIG!$B$1,$K$2,H4),"mm-dd"),LECTURAS!$A$2:$B$1000,2,FALSE),""))</f>
        <v> Éxodo 39–40; Romanos 15</v>
      </c>
      <c r="I5" s="6">
        <v>0.0</v>
      </c>
      <c r="K5" s="14">
        <f>DAY(EOMONTH($K$3,0))</f>
        <v>28</v>
      </c>
    </row>
    <row r="6" ht="15.75" customHeight="1">
      <c r="A6" s="20"/>
      <c r="B6" s="21">
        <f t="shared" ref="B6:H6" si="2">IF((($I6*7 + COLUMN()-COLUMN($B$6)+1) - $K$4 + 1)&lt;1,"",IF((($I6*7 + COLUMN()-COLUMN($B$6)+1) - $K$4 + 1)&gt;$K$5,"",(($I6*7 + COLUMN()-COLUMN($B$6)+1) - $K$4 + 1)))</f>
        <v>8</v>
      </c>
      <c r="C6" s="22">
        <f t="shared" si="2"/>
        <v>9</v>
      </c>
      <c r="D6" s="22">
        <f t="shared" si="2"/>
        <v>10</v>
      </c>
      <c r="E6" s="22">
        <f t="shared" si="2"/>
        <v>11</v>
      </c>
      <c r="F6" s="22">
        <f t="shared" si="2"/>
        <v>12</v>
      </c>
      <c r="G6" s="22">
        <f t="shared" si="2"/>
        <v>13</v>
      </c>
      <c r="H6" s="23">
        <f t="shared" si="2"/>
        <v>14</v>
      </c>
      <c r="I6" s="6">
        <v>1.0</v>
      </c>
    </row>
    <row r="7" ht="54.0" customHeight="1">
      <c r="A7" s="24"/>
      <c r="B7" s="25" t="str">
        <f>IF(B6="","",IFERROR(VLOOKUP(TEXT(DATE(CONFIG!$B$1,$K$2,B6),"mm-dd"),LECTURAS!$A$2:$B$1000,2,FALSE),""))</f>
        <v> Levítico 1–2; Romanos 16</v>
      </c>
      <c r="C7" s="26" t="str">
        <f>IF(C6="","",IFERROR(VLOOKUP(TEXT(DATE(CONFIG!$B$1,$K$2,C6),"mm-dd"),LECTURAS!$A$2:$B$1000,2,FALSE),""))</f>
        <v> Levítico 3–4; Hebreos 1</v>
      </c>
      <c r="D7" s="26" t="str">
        <f>IF(D6="","",IFERROR(VLOOKUP(TEXT(DATE(CONFIG!$B$1,$K$2,D6),"mm-dd"),LECTURAS!$A$2:$B$1000,2,FALSE),""))</f>
        <v> Levítico 5–6; Hebreos 2</v>
      </c>
      <c r="E7" s="26" t="str">
        <f>IF(E6="","",IFERROR(VLOOKUP(TEXT(DATE(CONFIG!$B$1,$K$2,E6),"mm-dd"),LECTURAS!$A$2:$B$1000,2,FALSE),""))</f>
        <v> Levítico 7–8; Hebreos 3</v>
      </c>
      <c r="F7" s="26" t="str">
        <f>IF(F6="","",IFERROR(VLOOKUP(TEXT(DATE(CONFIG!$B$1,$K$2,F6),"mm-dd"),LECTURAS!$A$2:$B$1000,2,FALSE),""))</f>
        <v> Levítico 9–12; Hebreos 4</v>
      </c>
      <c r="G7" s="26" t="str">
        <f>IF(G6="","",IFERROR(VLOOKUP(TEXT(DATE(CONFIG!$B$1,$K$2,G6),"mm-dd"),LECTURAS!$A$2:$B$1000,2,FALSE),""))</f>
        <v> Levítico 13–14; Hebreos 5</v>
      </c>
      <c r="H7" s="27" t="str">
        <f>IF(H6="","",IFERROR(VLOOKUP(TEXT(DATE(CONFIG!$B$1,$K$2,H6),"mm-dd"),LECTURAS!$A$2:$B$1000,2,FALSE),""))</f>
        <v> Levítico 15–16; Hebreos 6</v>
      </c>
      <c r="I7" s="6">
        <v>1.0</v>
      </c>
    </row>
    <row r="8" ht="15.75" customHeight="1">
      <c r="A8" s="20"/>
      <c r="B8" s="21">
        <f t="shared" ref="B8:H8" si="3">IF((($I8*7 + COLUMN()-COLUMN($B$8)+1) - $K$4 + 1)&lt;1,"",IF((($I8*7 + COLUMN()-COLUMN($B$8)+1) - $K$4 + 1)&gt;$K$5,"",(($I8*7 + COLUMN()-COLUMN($B$8)+1) - $K$4 + 1)))</f>
        <v>15</v>
      </c>
      <c r="C8" s="22">
        <f t="shared" si="3"/>
        <v>16</v>
      </c>
      <c r="D8" s="22">
        <f t="shared" si="3"/>
        <v>17</v>
      </c>
      <c r="E8" s="22">
        <f t="shared" si="3"/>
        <v>18</v>
      </c>
      <c r="F8" s="22">
        <f t="shared" si="3"/>
        <v>19</v>
      </c>
      <c r="G8" s="22">
        <f t="shared" si="3"/>
        <v>20</v>
      </c>
      <c r="H8" s="23">
        <f t="shared" si="3"/>
        <v>21</v>
      </c>
      <c r="I8" s="6">
        <v>2.0</v>
      </c>
    </row>
    <row r="9" ht="54.0" customHeight="1">
      <c r="A9" s="24"/>
      <c r="B9" s="25" t="str">
        <f>IF(B8="","",IFERROR(VLOOKUP(TEXT(DATE(CONFIG!$B$1,$K$2,B8),"mm-dd"),LECTURAS!$A$2:$B$1000,2,FALSE),""))</f>
        <v> Levítico 17–18; Hebreos 7</v>
      </c>
      <c r="C9" s="26" t="str">
        <f>IF(C8="","",IFERROR(VLOOKUP(TEXT(DATE(CONFIG!$B$1,$K$2,C8),"mm-dd"),LECTURAS!$A$2:$B$1000,2,FALSE),""))</f>
        <v> Levítico 19–20; Hebreos 8</v>
      </c>
      <c r="D9" s="26" t="str">
        <f>IF(D8="","",IFERROR(VLOOKUP(TEXT(DATE(CONFIG!$B$1,$K$2,D8),"mm-dd"),LECTURAS!$A$2:$B$1000,2,FALSE),""))</f>
        <v> Levítico 21–23; Hebreos 9</v>
      </c>
      <c r="E9" s="26" t="str">
        <f>IF(E8="","",IFERROR(VLOOKUP(TEXT(DATE(CONFIG!$B$1,$K$2,E8),"mm-dd"),LECTURAS!$A$2:$B$1000,2,FALSE),""))</f>
        <v> Levítico 24–25; Hebreos 10–11</v>
      </c>
      <c r="F9" s="26" t="str">
        <f>IF(F8="","",IFERROR(VLOOKUP(TEXT(DATE(CONFIG!$B$1,$K$2,F8),"mm-dd"),LECTURAS!$A$2:$B$1000,2,FALSE),""))</f>
        <v> Levítico 26–27; Hebreos 12–13</v>
      </c>
      <c r="G9" s="26" t="str">
        <f>IF(G8="","",IFERROR(VLOOKUP(TEXT(DATE(CONFIG!$B$1,$K$2,G8),"mm-dd"),LECTURAS!$A$2:$B$1000,2,FALSE),""))</f>
        <v> Números 1–2; Hechos 1</v>
      </c>
      <c r="H9" s="27" t="str">
        <f>IF(H8="","",IFERROR(VLOOKUP(TEXT(DATE(CONFIG!$B$1,$K$2,H8),"mm-dd"),LECTURAS!$A$2:$B$1000,2,FALSE),""))</f>
        <v> Números 3–4; Hechos 2</v>
      </c>
      <c r="I9" s="6">
        <v>2.0</v>
      </c>
    </row>
    <row r="10" ht="15.75" customHeight="1">
      <c r="A10" s="20"/>
      <c r="B10" s="21">
        <f t="shared" ref="B10:H10" si="4">IF((($I10*7 + COLUMN()-COLUMN($B$10)+1) - $K$4 + 1)&lt;1,"",IF((($I10*7 + COLUMN()-COLUMN($B$10)+1) - $K$4 + 1)&gt;$K$5,"",(($I10*7 + COLUMN()-COLUMN($B$10)+1) - $K$4 + 1)))</f>
        <v>22</v>
      </c>
      <c r="C10" s="22">
        <f t="shared" si="4"/>
        <v>23</v>
      </c>
      <c r="D10" s="22">
        <f t="shared" si="4"/>
        <v>24</v>
      </c>
      <c r="E10" s="22">
        <f t="shared" si="4"/>
        <v>25</v>
      </c>
      <c r="F10" s="22">
        <f t="shared" si="4"/>
        <v>26</v>
      </c>
      <c r="G10" s="22">
        <f t="shared" si="4"/>
        <v>27</v>
      </c>
      <c r="H10" s="23">
        <f t="shared" si="4"/>
        <v>28</v>
      </c>
      <c r="I10" s="6">
        <v>3.0</v>
      </c>
    </row>
    <row r="11" ht="54.0" customHeight="1">
      <c r="A11" s="24"/>
      <c r="B11" s="25" t="str">
        <f>IF(B10="","",IFERROR(VLOOKUP(TEXT(DATE(CONFIG!$B$1,$K$2,B10),"mm-dd"),LECTURAS!$A$2:$B$1000,2,FALSE),""))</f>
        <v> Números 5–6; Hechos 3</v>
      </c>
      <c r="C11" s="26" t="str">
        <f>IF(C10="","",IFERROR(VLOOKUP(TEXT(DATE(CONFIG!$B$1,$K$2,C10),"mm-dd"),LECTURAS!$A$2:$B$1000,2,FALSE),""))</f>
        <v> Números 7–8; Hechos 4</v>
      </c>
      <c r="D11" s="26" t="str">
        <f>IF(D10="","",IFERROR(VLOOKUP(TEXT(DATE(CONFIG!$B$1,$K$2,D10),"mm-dd"),LECTURAS!$A$2:$B$1000,2,FALSE),""))</f>
        <v> Números 9–10; Hechos 5</v>
      </c>
      <c r="E11" s="26" t="str">
        <f>IF(E10="","",IFERROR(VLOOKUP(TEXT(DATE(CONFIG!$B$1,$K$2,E10),"mm-dd"),LECTURAS!$A$2:$B$1000,2,FALSE),""))</f>
        <v> Números 11–12; Hechos 6–7</v>
      </c>
      <c r="F11" s="26" t="str">
        <f>IF(F10="","",IFERROR(VLOOKUP(TEXT(DATE(CONFIG!$B$1,$K$2,F10),"mm-dd"),LECTURAS!$A$2:$B$1000,2,FALSE),""))</f>
        <v> Números 13–14; Hechos 8–9</v>
      </c>
      <c r="G11" s="26" t="str">
        <f>IF(G10="","",IFERROR(VLOOKUP(TEXT(DATE(CONFIG!$B$1,$K$2,G10),"mm-dd"),LECTURAS!$A$2:$B$1000,2,FALSE),""))</f>
        <v> Números 15–16; Hechos 10</v>
      </c>
      <c r="H11" s="27" t="str">
        <f>IF(H10="","",IFERROR(VLOOKUP(TEXT(DATE(CONFIG!$B$1,$K$2,H10),"mm-dd"),LECTURAS!$A$2:$B$1000,2,FALSE),""))</f>
        <v> Números 17–18; Hechos 11</v>
      </c>
      <c r="I11" s="6">
        <v>3.0</v>
      </c>
    </row>
    <row r="12" ht="15.75" customHeight="1">
      <c r="A12" s="20"/>
      <c r="B12" s="21" t="str">
        <f t="shared" ref="B12:H12" si="5">IF((($I12*7 + COLUMN()-COLUMN($B$12)+1) - $K$4 + 1)&lt;1,"",IF((($I12*7 + COLUMN()-COLUMN($B$12)+1) - $K$4 + 1)&gt;$K$5,"",(($I12*7 + COLUMN()-COLUMN($B$12)+1) - $K$4 + 1)))</f>
        <v/>
      </c>
      <c r="C12" s="22" t="str">
        <f t="shared" si="5"/>
        <v/>
      </c>
      <c r="D12" s="22" t="str">
        <f t="shared" si="5"/>
        <v/>
      </c>
      <c r="E12" s="22" t="str">
        <f t="shared" si="5"/>
        <v/>
      </c>
      <c r="F12" s="22" t="str">
        <f t="shared" si="5"/>
        <v/>
      </c>
      <c r="G12" s="22" t="str">
        <f t="shared" si="5"/>
        <v/>
      </c>
      <c r="H12" s="23" t="str">
        <f t="shared" si="5"/>
        <v/>
      </c>
      <c r="I12" s="6">
        <v>4.0</v>
      </c>
    </row>
    <row r="13" ht="54.0" customHeight="1">
      <c r="A13" s="24"/>
      <c r="B13" s="25" t="str">
        <f>IF(B12="","",IFERROR(VLOOKUP(TEXT(DATE(CONFIG!$B$1,$K$2,B12),"mm-dd"),LECTURAS!$A$2:$B$1000,2,FALSE),""))</f>
        <v/>
      </c>
      <c r="C13" s="26" t="str">
        <f>IF(C12="","",IFERROR(VLOOKUP(TEXT(DATE(CONFIG!$B$1,$K$2,C12),"mm-dd"),LECTURAS!$A$2:$B$1000,2,FALSE),""))</f>
        <v/>
      </c>
      <c r="D13" s="26" t="str">
        <f>IF(D12="","",IFERROR(VLOOKUP(TEXT(DATE(CONFIG!$B$1,$K$2,D12),"mm-dd"),LECTURAS!$A$2:$B$1000,2,FALSE),""))</f>
        <v/>
      </c>
      <c r="E13" s="26" t="str">
        <f>IF(E12="","",IFERROR(VLOOKUP(TEXT(DATE(CONFIG!$B$1,$K$2,E12),"mm-dd"),LECTURAS!$A$2:$B$1000,2,FALSE),""))</f>
        <v/>
      </c>
      <c r="F13" s="26" t="str">
        <f>IF(F12="","",IFERROR(VLOOKUP(TEXT(DATE(CONFIG!$B$1,$K$2,F12),"mm-dd"),LECTURAS!$A$2:$B$1000,2,FALSE),""))</f>
        <v/>
      </c>
      <c r="G13" s="26" t="str">
        <f>IF(G12="","",IFERROR(VLOOKUP(TEXT(DATE(CONFIG!$B$1,$K$2,G12),"mm-dd"),LECTURAS!$A$2:$B$1000,2,FALSE),""))</f>
        <v/>
      </c>
      <c r="H13" s="27" t="str">
        <f>IF(H12="","",IFERROR(VLOOKUP(TEXT(DATE(CONFIG!$B$1,$K$2,H12),"mm-dd"),LECTURAS!$A$2:$B$1000,2,FALSE),""))</f>
        <v/>
      </c>
      <c r="I13" s="6">
        <v>4.0</v>
      </c>
    </row>
    <row r="14" ht="15.75" customHeight="1">
      <c r="A14" s="20"/>
      <c r="B14" s="21" t="str">
        <f t="shared" ref="B14:H14" si="6">IF((($I14*7 + COLUMN()-COLUMN($B$14)+1) - $K$4 + 1)&lt;1,"",IF((($I14*7 + COLUMN()-COLUMN($B$14)+1) - $K$4 + 1)&gt;$K$5,"",(($I14*7 + COLUMN()-COLUMN($B$14)+1) - $K$4 + 1)))</f>
        <v/>
      </c>
      <c r="C14" s="22" t="str">
        <f t="shared" si="6"/>
        <v/>
      </c>
      <c r="D14" s="22" t="str">
        <f t="shared" si="6"/>
        <v/>
      </c>
      <c r="E14" s="22" t="str">
        <f t="shared" si="6"/>
        <v/>
      </c>
      <c r="F14" s="22" t="str">
        <f t="shared" si="6"/>
        <v/>
      </c>
      <c r="G14" s="22" t="str">
        <f t="shared" si="6"/>
        <v/>
      </c>
      <c r="H14" s="23" t="str">
        <f t="shared" si="6"/>
        <v/>
      </c>
      <c r="I14" s="6">
        <v>5.0</v>
      </c>
    </row>
    <row r="15" ht="54.0" customHeight="1">
      <c r="A15" s="24"/>
      <c r="B15" s="28" t="str">
        <f>IF(B14="","",IFERROR(VLOOKUP(TEXT(DATE(CONFIG!$B$1,$K$2,B14),"mm-dd"),LECTURAS!$A$2:$B$1000,2,FALSE),""))</f>
        <v/>
      </c>
      <c r="C15" s="29" t="str">
        <f>IF(C14="","",IFERROR(VLOOKUP(TEXT(DATE(CONFIG!$B$1,$K$2,C14),"mm-dd"),LECTURAS!$A$2:$B$1000,2,FALSE),""))</f>
        <v/>
      </c>
      <c r="D15" s="29" t="str">
        <f>IF(D14="","",IFERROR(VLOOKUP(TEXT(DATE(CONFIG!$B$1,$K$2,D14),"mm-dd"),LECTURAS!$A$2:$B$1000,2,FALSE),""))</f>
        <v/>
      </c>
      <c r="E15" s="29" t="str">
        <f>IF(E14="","",IFERROR(VLOOKUP(TEXT(DATE(CONFIG!$B$1,$K$2,E14),"mm-dd"),LECTURAS!$A$2:$B$1000,2,FALSE),""))</f>
        <v/>
      </c>
      <c r="F15" s="29" t="str">
        <f>IF(F14="","",IFERROR(VLOOKUP(TEXT(DATE(CONFIG!$B$1,$K$2,F14),"mm-dd"),LECTURAS!$A$2:$B$1000,2,FALSE),""))</f>
        <v/>
      </c>
      <c r="G15" s="29" t="str">
        <f>IF(G14="","",IFERROR(VLOOKUP(TEXT(DATE(CONFIG!$B$1,$K$2,G14),"mm-dd"),LECTURAS!$A$2:$B$1000,2,FALSE),""))</f>
        <v/>
      </c>
      <c r="H15" s="30" t="str">
        <f>IF(H14="","",IFERROR(VLOOKUP(TEXT(DATE(CONFIG!$B$1,$K$2,H14),"mm-dd"),LECTURAS!$A$2:$B$1000,2,FALSE),""))</f>
        <v/>
      </c>
      <c r="I15" s="6">
        <v>5.0</v>
      </c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  <row r="985" ht="15.75" customHeight="1">
      <c r="A985" s="9"/>
    </row>
    <row r="986" ht="15.75" customHeight="1">
      <c r="A986" s="9"/>
    </row>
    <row r="987" ht="15.75" customHeight="1">
      <c r="A987" s="9"/>
    </row>
    <row r="988" ht="15.75" customHeight="1">
      <c r="A988" s="9"/>
    </row>
    <row r="989" ht="15.75" customHeight="1">
      <c r="A989" s="9"/>
    </row>
    <row r="990" ht="15.75" customHeight="1">
      <c r="A990" s="9"/>
    </row>
    <row r="991" ht="15.75" customHeight="1">
      <c r="A991" s="9"/>
    </row>
    <row r="992" ht="15.75" customHeight="1">
      <c r="A992" s="9"/>
    </row>
    <row r="993" ht="15.75" customHeight="1">
      <c r="A993" s="9"/>
    </row>
    <row r="994" ht="15.75" customHeight="1">
      <c r="A994" s="9"/>
    </row>
    <row r="995" ht="15.75" customHeight="1">
      <c r="A995" s="9"/>
    </row>
    <row r="996" ht="15.75" customHeight="1">
      <c r="A996" s="9"/>
    </row>
    <row r="997" ht="15.75" customHeight="1">
      <c r="A997" s="9"/>
    </row>
    <row r="998" ht="15.75" customHeight="1">
      <c r="A998" s="9"/>
    </row>
    <row r="999" ht="15.75" customHeight="1">
      <c r="A999" s="9"/>
    </row>
    <row r="1000" ht="15.75" customHeight="1">
      <c r="A1000" s="9"/>
    </row>
    <row r="1001" ht="15.75" customHeight="1">
      <c r="A1001" s="9"/>
    </row>
  </sheetData>
  <mergeCells count="1">
    <mergeCell ref="B2:H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18.0"/>
    <col customWidth="1" hidden="1" min="9" max="10" width="3.0"/>
    <col customWidth="1" hidden="1" min="11" max="11" width="5.29"/>
    <col customWidth="1" min="12" max="27" width="9.14"/>
  </cols>
  <sheetData>
    <row r="1" ht="27.75" customHeight="1">
      <c r="A1" s="8"/>
      <c r="B1" s="8"/>
      <c r="C1" s="8"/>
      <c r="D1" s="8"/>
      <c r="E1" s="8"/>
      <c r="F1" s="8"/>
      <c r="G1" s="8"/>
      <c r="H1" s="8"/>
      <c r="I1" s="9"/>
      <c r="J1" s="9"/>
      <c r="K1" s="10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ht="27.75" customHeight="1">
      <c r="A2" s="8"/>
      <c r="B2" s="11" t="s">
        <v>749</v>
      </c>
      <c r="C2" s="12"/>
      <c r="D2" s="12"/>
      <c r="E2" s="12"/>
      <c r="F2" s="12"/>
      <c r="G2" s="12"/>
      <c r="H2" s="13"/>
      <c r="K2" s="14">
        <v>3.0</v>
      </c>
    </row>
    <row r="3" ht="19.5" customHeight="1">
      <c r="A3" s="15"/>
      <c r="B3" s="16" t="s">
        <v>741</v>
      </c>
      <c r="C3" s="17" t="s">
        <v>742</v>
      </c>
      <c r="D3" s="17" t="s">
        <v>743</v>
      </c>
      <c r="E3" s="17" t="s">
        <v>744</v>
      </c>
      <c r="F3" s="17" t="s">
        <v>745</v>
      </c>
      <c r="G3" s="17" t="s">
        <v>746</v>
      </c>
      <c r="H3" s="18" t="s">
        <v>747</v>
      </c>
      <c r="K3" s="19">
        <f>DATE(CONFIG!$B$1,$K$2,1)</f>
        <v>46082</v>
      </c>
    </row>
    <row r="4" ht="15.75" customHeight="1">
      <c r="A4" s="20"/>
      <c r="B4" s="21">
        <f t="shared" ref="B4:H4" si="1">IF((($I4*7 + COLUMN()-COLUMN($B$4)+1) - $K$4 + 1)&lt;1,"",IF((($I4*7 + COLUMN()-COLUMN($B$4)+1) - $K$4 + 1)&gt;$K$5,"",(($I4*7 + COLUMN()-COLUMN($B$4)+1) - $K$4 + 1)))</f>
        <v>1</v>
      </c>
      <c r="C4" s="22">
        <f t="shared" si="1"/>
        <v>2</v>
      </c>
      <c r="D4" s="22">
        <f t="shared" si="1"/>
        <v>3</v>
      </c>
      <c r="E4" s="22">
        <f t="shared" si="1"/>
        <v>4</v>
      </c>
      <c r="F4" s="22">
        <f t="shared" si="1"/>
        <v>5</v>
      </c>
      <c r="G4" s="22">
        <f t="shared" si="1"/>
        <v>6</v>
      </c>
      <c r="H4" s="23">
        <f t="shared" si="1"/>
        <v>7</v>
      </c>
      <c r="I4" s="6">
        <v>0.0</v>
      </c>
      <c r="K4" s="14">
        <f>WEEKDAY($K$3,1)</f>
        <v>1</v>
      </c>
    </row>
    <row r="5" ht="54.0" customHeight="1">
      <c r="A5" s="24"/>
      <c r="B5" s="25" t="str">
        <f>IF(B4="","",IFERROR(VLOOKUP(TEXT(DATE(CONFIG!$B$1,$K$2,B4),"mm-dd"),LECTURAS!$A$2:$B$1000,2,FALSE),""))</f>
        <v> Números 19–20; Hechos 12</v>
      </c>
      <c r="C5" s="26" t="str">
        <f>IF(C4="","",IFERROR(VLOOKUP(TEXT(DATE(CONFIG!$B$1,$K$2,C4),"mm-dd"),LECTURAS!$A$2:$B$1000,2,FALSE),""))</f>
        <v> Números 21–22; Hechos 13</v>
      </c>
      <c r="D5" s="26" t="str">
        <f>IF(D4="","",IFERROR(VLOOKUP(TEXT(DATE(CONFIG!$B$1,$K$2,D4),"mm-dd"),LECTURAS!$A$2:$B$1000,2,FALSE),""))</f>
        <v> Números 23–24; Hechos 14</v>
      </c>
      <c r="E5" s="26" t="str">
        <f>IF(E4="","",IFERROR(VLOOKUP(TEXT(DATE(CONFIG!$B$1,$K$2,E4),"mm-dd"),LECTURAS!$A$2:$B$1000,2,FALSE),""))</f>
        <v> Números 25–26; Hechos 15</v>
      </c>
      <c r="F5" s="26" t="str">
        <f>IF(F4="","",IFERROR(VLOOKUP(TEXT(DATE(CONFIG!$B$1,$K$2,F4),"mm-dd"),LECTURAS!$A$2:$B$1000,2,FALSE),""))</f>
        <v> Hechos 16–20</v>
      </c>
      <c r="G5" s="26" t="str">
        <f>IF(G4="","",IFERROR(VLOOKUP(TEXT(DATE(CONFIG!$B$1,$K$2,G4),"mm-dd"),LECTURAS!$A$2:$B$1000,2,FALSE),""))</f>
        <v> Números 27–28; Hechos 21</v>
      </c>
      <c r="H5" s="27" t="str">
        <f>IF(H4="","",IFERROR(VLOOKUP(TEXT(DATE(CONFIG!$B$1,$K$2,H4),"mm-dd"),LECTURAS!$A$2:$B$1000,2,FALSE),""))</f>
        <v> Números 29–30; Hechos 22</v>
      </c>
      <c r="I5" s="6">
        <v>0.0</v>
      </c>
      <c r="K5" s="14">
        <f>DAY(EOMONTH($K$3,0))</f>
        <v>31</v>
      </c>
    </row>
    <row r="6" ht="15.75" customHeight="1">
      <c r="A6" s="20"/>
      <c r="B6" s="21">
        <f t="shared" ref="B6:H6" si="2">IF((($I6*7 + COLUMN()-COLUMN($B$6)+1) - $K$4 + 1)&lt;1,"",IF((($I6*7 + COLUMN()-COLUMN($B$6)+1) - $K$4 + 1)&gt;$K$5,"",(($I6*7 + COLUMN()-COLUMN($B$6)+1) - $K$4 + 1)))</f>
        <v>8</v>
      </c>
      <c r="C6" s="22">
        <f t="shared" si="2"/>
        <v>9</v>
      </c>
      <c r="D6" s="22">
        <f t="shared" si="2"/>
        <v>10</v>
      </c>
      <c r="E6" s="22">
        <f t="shared" si="2"/>
        <v>11</v>
      </c>
      <c r="F6" s="22">
        <f t="shared" si="2"/>
        <v>12</v>
      </c>
      <c r="G6" s="22">
        <f t="shared" si="2"/>
        <v>13</v>
      </c>
      <c r="H6" s="23">
        <f t="shared" si="2"/>
        <v>14</v>
      </c>
      <c r="I6" s="6">
        <v>1.0</v>
      </c>
    </row>
    <row r="7" ht="54.0" customHeight="1">
      <c r="A7" s="24"/>
      <c r="B7" s="25" t="str">
        <f>IF(B6="","",IFERROR(VLOOKUP(TEXT(DATE(CONFIG!$B$1,$K$2,B6),"mm-dd"),LECTURAS!$A$2:$B$1000,2,FALSE),""))</f>
        <v> Números 31–32; Hechos 23</v>
      </c>
      <c r="C7" s="26" t="str">
        <f>IF(C6="","",IFERROR(VLOOKUP(TEXT(DATE(CONFIG!$B$1,$K$2,C6),"mm-dd"),LECTURAS!$A$2:$B$1000,2,FALSE),""))</f>
        <v> Números 33; Hechos 24–25</v>
      </c>
      <c r="D7" s="26" t="str">
        <f>IF(D6="","",IFERROR(VLOOKUP(TEXT(DATE(CONFIG!$B$1,$K$2,D6),"mm-dd"),LECTURAS!$A$2:$B$1000,2,FALSE),""))</f>
        <v> Números 34–35; Hechos 26</v>
      </c>
      <c r="E7" s="26" t="str">
        <f>IF(E6="","",IFERROR(VLOOKUP(TEXT(DATE(CONFIG!$B$1,$K$2,E6),"mm-dd"),LECTURAS!$A$2:$B$1000,2,FALSE),""))</f>
        <v> Números 36; Hechos 27–28</v>
      </c>
      <c r="F7" s="26" t="str">
        <f>IF(F6="","",IFERROR(VLOOKUP(TEXT(DATE(CONFIG!$B$1,$K$2,F6),"mm-dd"),LECTURAS!$A$2:$B$1000,2,FALSE),""))</f>
        <v> Deuteronomio 1–3; Mateo 1–2</v>
      </c>
      <c r="G7" s="26" t="str">
        <f>IF(G6="","",IFERROR(VLOOKUP(TEXT(DATE(CONFIG!$B$1,$K$2,G6),"mm-dd"),LECTURAS!$A$2:$B$1000,2,FALSE),""))</f>
        <v> Deuteronomio 4–6; Mateo 3</v>
      </c>
      <c r="H7" s="27" t="str">
        <f>IF(H6="","",IFERROR(VLOOKUP(TEXT(DATE(CONFIG!$B$1,$K$2,H6),"mm-dd"),LECTURAS!$A$2:$B$1000,2,FALSE),""))</f>
        <v> Deuteronomio 7–8; Mateo 4</v>
      </c>
      <c r="I7" s="6">
        <v>1.0</v>
      </c>
    </row>
    <row r="8" ht="15.75" customHeight="1">
      <c r="A8" s="20"/>
      <c r="B8" s="21">
        <f t="shared" ref="B8:H8" si="3">IF((($I8*7 + COLUMN()-COLUMN($B$8)+1) - $K$4 + 1)&lt;1,"",IF((($I8*7 + COLUMN()-COLUMN($B$8)+1) - $K$4 + 1)&gt;$K$5,"",(($I8*7 + COLUMN()-COLUMN($B$8)+1) - $K$4 + 1)))</f>
        <v>15</v>
      </c>
      <c r="C8" s="22">
        <f t="shared" si="3"/>
        <v>16</v>
      </c>
      <c r="D8" s="22">
        <f t="shared" si="3"/>
        <v>17</v>
      </c>
      <c r="E8" s="22">
        <f t="shared" si="3"/>
        <v>18</v>
      </c>
      <c r="F8" s="22">
        <f t="shared" si="3"/>
        <v>19</v>
      </c>
      <c r="G8" s="22">
        <f t="shared" si="3"/>
        <v>20</v>
      </c>
      <c r="H8" s="23">
        <f t="shared" si="3"/>
        <v>21</v>
      </c>
      <c r="I8" s="6">
        <v>2.0</v>
      </c>
    </row>
    <row r="9" ht="54.0" customHeight="1">
      <c r="A9" s="24"/>
      <c r="B9" s="25" t="str">
        <f>IF(B8="","",IFERROR(VLOOKUP(TEXT(DATE(CONFIG!$B$1,$K$2,B8),"mm-dd"),LECTURAS!$A$2:$B$1000,2,FALSE),""))</f>
        <v> Deuteronomio 9–10; Mateo 5</v>
      </c>
      <c r="C9" s="26" t="str">
        <f>IF(C8="","",IFERROR(VLOOKUP(TEXT(DATE(CONFIG!$B$1,$K$2,C8),"mm-dd"),LECTURAS!$A$2:$B$1000,2,FALSE),""))</f>
        <v> Deuteronomio 11–12; Mateo 6</v>
      </c>
      <c r="D9" s="26" t="str">
        <f>IF(D8="","",IFERROR(VLOOKUP(TEXT(DATE(CONFIG!$B$1,$K$2,D8),"mm-dd"),LECTURAS!$A$2:$B$1000,2,FALSE),""))</f>
        <v> Deuteronomio 13–14; Mateo 7</v>
      </c>
      <c r="E9" s="26" t="str">
        <f>IF(E8="","",IFERROR(VLOOKUP(TEXT(DATE(CONFIG!$B$1,$K$2,E8),"mm-dd"),LECTURAS!$A$2:$B$1000,2,FALSE),""))</f>
        <v> Deuteronomio 15–16; Mateo 8</v>
      </c>
      <c r="F9" s="26" t="str">
        <f>IF(F8="","",IFERROR(VLOOKUP(TEXT(DATE(CONFIG!$B$1,$K$2,F8),"mm-dd"),LECTURAS!$A$2:$B$1000,2,FALSE),""))</f>
        <v> Deuteronomio 17; Mateo 9–12</v>
      </c>
      <c r="G9" s="26" t="str">
        <f>IF(G8="","",IFERROR(VLOOKUP(TEXT(DATE(CONFIG!$B$1,$K$2,G8),"mm-dd"),LECTURAS!$A$2:$B$1000,2,FALSE),""))</f>
        <v> Deuteronomio 18; Mateo 13–14</v>
      </c>
      <c r="H9" s="27" t="str">
        <f>IF(H8="","",IFERROR(VLOOKUP(TEXT(DATE(CONFIG!$B$1,$K$2,H8),"mm-dd"),LECTURAS!$A$2:$B$1000,2,FALSE),""))</f>
        <v> Deuteronomio 19; Mateo 15–16</v>
      </c>
      <c r="I9" s="6">
        <v>2.0</v>
      </c>
    </row>
    <row r="10" ht="15.75" customHeight="1">
      <c r="A10" s="20"/>
      <c r="B10" s="21">
        <f t="shared" ref="B10:H10" si="4">IF((($I10*7 + COLUMN()-COLUMN($B$10)+1) - $K$4 + 1)&lt;1,"",IF((($I10*7 + COLUMN()-COLUMN($B$10)+1) - $K$4 + 1)&gt;$K$5,"",(($I10*7 + COLUMN()-COLUMN($B$10)+1) - $K$4 + 1)))</f>
        <v>22</v>
      </c>
      <c r="C10" s="22">
        <f t="shared" si="4"/>
        <v>23</v>
      </c>
      <c r="D10" s="22">
        <f t="shared" si="4"/>
        <v>24</v>
      </c>
      <c r="E10" s="22">
        <f t="shared" si="4"/>
        <v>25</v>
      </c>
      <c r="F10" s="22">
        <f t="shared" si="4"/>
        <v>26</v>
      </c>
      <c r="G10" s="22">
        <f t="shared" si="4"/>
        <v>27</v>
      </c>
      <c r="H10" s="23">
        <f t="shared" si="4"/>
        <v>28</v>
      </c>
      <c r="I10" s="6">
        <v>3.0</v>
      </c>
    </row>
    <row r="11" ht="54.0" customHeight="1">
      <c r="A11" s="24"/>
      <c r="B11" s="25" t="str">
        <f>IF(B10="","",IFERROR(VLOOKUP(TEXT(DATE(CONFIG!$B$1,$K$2,B10),"mm-dd"),LECTURAS!$A$2:$B$1000,2,FALSE),""))</f>
        <v> Deuteronomio 20–21; Mateo 17</v>
      </c>
      <c r="C11" s="26" t="str">
        <f>IF(C10="","",IFERROR(VLOOKUP(TEXT(DATE(CONFIG!$B$1,$K$2,C10),"mm-dd"),LECTURAS!$A$2:$B$1000,2,FALSE),""))</f>
        <v> Deuteronomio 22–23; Mateo 18</v>
      </c>
      <c r="D11" s="26" t="str">
        <f>IF(D10="","",IFERROR(VLOOKUP(TEXT(DATE(CONFIG!$B$1,$K$2,D10),"mm-dd"),LECTURAS!$A$2:$B$1000,2,FALSE),""))</f>
        <v> Deuteronomio 24; Mateo 19–20</v>
      </c>
      <c r="E11" s="26" t="str">
        <f>IF(E10="","",IFERROR(VLOOKUP(TEXT(DATE(CONFIG!$B$1,$K$2,E10),"mm-dd"),LECTURAS!$A$2:$B$1000,2,FALSE),""))</f>
        <v> Deuteronomio 25–26; Mateo 21</v>
      </c>
      <c r="F11" s="26" t="str">
        <f>IF(F10="","",IFERROR(VLOOKUP(TEXT(DATE(CONFIG!$B$1,$K$2,F10),"mm-dd"),LECTURAS!$A$2:$B$1000,2,FALSE),""))</f>
        <v> Deuteronomio 27; Mateo 22–25</v>
      </c>
      <c r="G11" s="26" t="str">
        <f>IF(G10="","",IFERROR(VLOOKUP(TEXT(DATE(CONFIG!$B$1,$K$2,G10),"mm-dd"),LECTURAS!$A$2:$B$1000,2,FALSE),""))</f>
        <v> Deuteronomio 28–29; Mateo 26</v>
      </c>
      <c r="H11" s="27" t="str">
        <f>IF(H10="","",IFERROR(VLOOKUP(TEXT(DATE(CONFIG!$B$1,$K$2,H10),"mm-dd"),LECTURAS!$A$2:$B$1000,2,FALSE),""))</f>
        <v> Deuteronomio 30–31; Mateo 27</v>
      </c>
      <c r="I11" s="6">
        <v>3.0</v>
      </c>
    </row>
    <row r="12" ht="15.75" customHeight="1">
      <c r="A12" s="20"/>
      <c r="B12" s="21">
        <f t="shared" ref="B12:H12" si="5">IF((($I12*7 + COLUMN()-COLUMN($B$12)+1) - $K$4 + 1)&lt;1,"",IF((($I12*7 + COLUMN()-COLUMN($B$12)+1) - $K$4 + 1)&gt;$K$5,"",(($I12*7 + COLUMN()-COLUMN($B$12)+1) - $K$4 + 1)))</f>
        <v>29</v>
      </c>
      <c r="C12" s="22">
        <f t="shared" si="5"/>
        <v>30</v>
      </c>
      <c r="D12" s="22">
        <f t="shared" si="5"/>
        <v>31</v>
      </c>
      <c r="E12" s="22" t="str">
        <f t="shared" si="5"/>
        <v/>
      </c>
      <c r="F12" s="22" t="str">
        <f t="shared" si="5"/>
        <v/>
      </c>
      <c r="G12" s="22" t="str">
        <f t="shared" si="5"/>
        <v/>
      </c>
      <c r="H12" s="23" t="str">
        <f t="shared" si="5"/>
        <v/>
      </c>
      <c r="I12" s="6">
        <v>4.0</v>
      </c>
    </row>
    <row r="13" ht="54.0" customHeight="1">
      <c r="A13" s="24"/>
      <c r="B13" s="25" t="str">
        <f>IF(B12="","",IFERROR(VLOOKUP(TEXT(DATE(CONFIG!$B$1,$K$2,B12),"mm-dd"),LECTURAS!$A$2:$B$1000,2,FALSE),""))</f>
        <v> Deuteronomio 32–34; Mateo 28</v>
      </c>
      <c r="C13" s="26" t="str">
        <f>IF(C12="","",IFERROR(VLOOKUP(TEXT(DATE(CONFIG!$B$1,$K$2,C12),"mm-dd"),LECTURAS!$A$2:$B$1000,2,FALSE),""))</f>
        <v> Josué 1–2; Proverbios 1</v>
      </c>
      <c r="D13" s="26" t="str">
        <f>IF(D12="","",IFERROR(VLOOKUP(TEXT(DATE(CONFIG!$B$1,$K$2,D12),"mm-dd"),LECTURAS!$A$2:$B$1000,2,FALSE),""))</f>
        <v> Josué 3–4; Proverbios 2</v>
      </c>
      <c r="E13" s="26" t="str">
        <f>IF(E12="","",IFERROR(VLOOKUP(TEXT(DATE(CONFIG!$B$1,$K$2,E12),"mm-dd"),LECTURAS!$A$2:$B$1000,2,FALSE),""))</f>
        <v/>
      </c>
      <c r="F13" s="26" t="str">
        <f>IF(F12="","",IFERROR(VLOOKUP(TEXT(DATE(CONFIG!$B$1,$K$2,F12),"mm-dd"),LECTURAS!$A$2:$B$1000,2,FALSE),""))</f>
        <v/>
      </c>
      <c r="G13" s="26" t="str">
        <f>IF(G12="","",IFERROR(VLOOKUP(TEXT(DATE(CONFIG!$B$1,$K$2,G12),"mm-dd"),LECTURAS!$A$2:$B$1000,2,FALSE),""))</f>
        <v/>
      </c>
      <c r="H13" s="27" t="str">
        <f>IF(H12="","",IFERROR(VLOOKUP(TEXT(DATE(CONFIG!$B$1,$K$2,H12),"mm-dd"),LECTURAS!$A$2:$B$1000,2,FALSE),""))</f>
        <v/>
      </c>
      <c r="I13" s="6">
        <v>4.0</v>
      </c>
    </row>
    <row r="14" ht="15.75" customHeight="1">
      <c r="A14" s="20"/>
      <c r="B14" s="21" t="str">
        <f t="shared" ref="B14:H14" si="6">IF((($I14*7 + COLUMN()-COLUMN($B$14)+1) - $K$4 + 1)&lt;1,"",IF((($I14*7 + COLUMN()-COLUMN($B$14)+1) - $K$4 + 1)&gt;$K$5,"",(($I14*7 + COLUMN()-COLUMN($B$14)+1) - $K$4 + 1)))</f>
        <v/>
      </c>
      <c r="C14" s="22" t="str">
        <f t="shared" si="6"/>
        <v/>
      </c>
      <c r="D14" s="22" t="str">
        <f t="shared" si="6"/>
        <v/>
      </c>
      <c r="E14" s="22" t="str">
        <f t="shared" si="6"/>
        <v/>
      </c>
      <c r="F14" s="22" t="str">
        <f t="shared" si="6"/>
        <v/>
      </c>
      <c r="G14" s="22" t="str">
        <f t="shared" si="6"/>
        <v/>
      </c>
      <c r="H14" s="23" t="str">
        <f t="shared" si="6"/>
        <v/>
      </c>
      <c r="I14" s="6">
        <v>5.0</v>
      </c>
    </row>
    <row r="15" ht="54.0" customHeight="1">
      <c r="A15" s="24"/>
      <c r="B15" s="28" t="str">
        <f>IF(B14="","",IFERROR(VLOOKUP(TEXT(DATE(CONFIG!$B$1,$K$2,B14),"mm-dd"),LECTURAS!$A$2:$B$1000,2,FALSE),""))</f>
        <v/>
      </c>
      <c r="C15" s="29" t="str">
        <f>IF(C14="","",IFERROR(VLOOKUP(TEXT(DATE(CONFIG!$B$1,$K$2,C14),"mm-dd"),LECTURAS!$A$2:$B$1000,2,FALSE),""))</f>
        <v/>
      </c>
      <c r="D15" s="29" t="str">
        <f>IF(D14="","",IFERROR(VLOOKUP(TEXT(DATE(CONFIG!$B$1,$K$2,D14),"mm-dd"),LECTURAS!$A$2:$B$1000,2,FALSE),""))</f>
        <v/>
      </c>
      <c r="E15" s="29" t="str">
        <f>IF(E14="","",IFERROR(VLOOKUP(TEXT(DATE(CONFIG!$B$1,$K$2,E14),"mm-dd"),LECTURAS!$A$2:$B$1000,2,FALSE),""))</f>
        <v/>
      </c>
      <c r="F15" s="29" t="str">
        <f>IF(F14="","",IFERROR(VLOOKUP(TEXT(DATE(CONFIG!$B$1,$K$2,F14),"mm-dd"),LECTURAS!$A$2:$B$1000,2,FALSE),""))</f>
        <v/>
      </c>
      <c r="G15" s="29" t="str">
        <f>IF(G14="","",IFERROR(VLOOKUP(TEXT(DATE(CONFIG!$B$1,$K$2,G14),"mm-dd"),LECTURAS!$A$2:$B$1000,2,FALSE),""))</f>
        <v/>
      </c>
      <c r="H15" s="30" t="str">
        <f>IF(H14="","",IFERROR(VLOOKUP(TEXT(DATE(CONFIG!$B$1,$K$2,H14),"mm-dd"),LECTURAS!$A$2:$B$1000,2,FALSE),""))</f>
        <v/>
      </c>
      <c r="I15" s="6">
        <v>5.0</v>
      </c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  <row r="985" ht="15.75" customHeight="1">
      <c r="A985" s="9"/>
    </row>
    <row r="986" ht="15.75" customHeight="1">
      <c r="A986" s="9"/>
    </row>
    <row r="987" ht="15.75" customHeight="1">
      <c r="A987" s="9"/>
    </row>
    <row r="988" ht="15.75" customHeight="1">
      <c r="A988" s="9"/>
    </row>
    <row r="989" ht="15.75" customHeight="1">
      <c r="A989" s="9"/>
    </row>
    <row r="990" ht="15.75" customHeight="1">
      <c r="A990" s="9"/>
    </row>
    <row r="991" ht="15.75" customHeight="1">
      <c r="A991" s="9"/>
    </row>
    <row r="992" ht="15.75" customHeight="1">
      <c r="A992" s="9"/>
    </row>
    <row r="993" ht="15.75" customHeight="1">
      <c r="A993" s="9"/>
    </row>
    <row r="994" ht="15.75" customHeight="1">
      <c r="A994" s="9"/>
    </row>
    <row r="995" ht="15.75" customHeight="1">
      <c r="A995" s="9"/>
    </row>
    <row r="996" ht="15.75" customHeight="1">
      <c r="A996" s="9"/>
    </row>
    <row r="997" ht="15.75" customHeight="1">
      <c r="A997" s="9"/>
    </row>
    <row r="998" ht="15.75" customHeight="1">
      <c r="A998" s="9"/>
    </row>
    <row r="999" ht="15.75" customHeight="1">
      <c r="A999" s="9"/>
    </row>
    <row r="1000" ht="15.75" customHeight="1">
      <c r="A1000" s="9"/>
    </row>
    <row r="1001" ht="15.75" customHeight="1">
      <c r="A1001" s="9"/>
    </row>
  </sheetData>
  <mergeCells count="1">
    <mergeCell ref="B2:H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18.0"/>
    <col customWidth="1" hidden="1" min="9" max="11" width="3.0"/>
    <col customWidth="1" min="12" max="27" width="9.14"/>
  </cols>
  <sheetData>
    <row r="1" ht="27.75" customHeight="1">
      <c r="A1" s="8"/>
      <c r="B1" s="31"/>
      <c r="C1" s="31"/>
      <c r="D1" s="31"/>
      <c r="E1" s="31"/>
      <c r="F1" s="31"/>
      <c r="G1" s="31"/>
      <c r="H1" s="31"/>
      <c r="K1" s="14"/>
    </row>
    <row r="2" ht="27.75" customHeight="1">
      <c r="A2" s="8"/>
      <c r="B2" s="11" t="s">
        <v>750</v>
      </c>
      <c r="C2" s="12"/>
      <c r="D2" s="12"/>
      <c r="E2" s="12"/>
      <c r="F2" s="12"/>
      <c r="G2" s="12"/>
      <c r="H2" s="13"/>
      <c r="K2" s="14">
        <v>4.0</v>
      </c>
    </row>
    <row r="3" ht="19.5" customHeight="1">
      <c r="A3" s="15"/>
      <c r="B3" s="16" t="s">
        <v>741</v>
      </c>
      <c r="C3" s="17" t="s">
        <v>742</v>
      </c>
      <c r="D3" s="17" t="s">
        <v>743</v>
      </c>
      <c r="E3" s="17" t="s">
        <v>744</v>
      </c>
      <c r="F3" s="17" t="s">
        <v>745</v>
      </c>
      <c r="G3" s="17" t="s">
        <v>746</v>
      </c>
      <c r="H3" s="18" t="s">
        <v>747</v>
      </c>
      <c r="K3" s="19">
        <f>DATE(CONFIG!$B$1,$K$2,1)</f>
        <v>46113</v>
      </c>
    </row>
    <row r="4" ht="15.75" customHeight="1">
      <c r="A4" s="20"/>
      <c r="B4" s="21" t="str">
        <f t="shared" ref="B4:H4" si="1">IF((($I4*7 + COLUMN()-COLUMN($B$4)+1) - $K$4 + 1)&lt;1,"",IF((($I4*7 + COLUMN()-COLUMN($B$4)+1) - $K$4 + 1)&gt;$K$5,"",(($I4*7 + COLUMN()-COLUMN($B$4)+1) - $K$4 + 1)))</f>
        <v/>
      </c>
      <c r="C4" s="22" t="str">
        <f t="shared" si="1"/>
        <v/>
      </c>
      <c r="D4" s="22" t="str">
        <f t="shared" si="1"/>
        <v/>
      </c>
      <c r="E4" s="22">
        <f t="shared" si="1"/>
        <v>1</v>
      </c>
      <c r="F4" s="22">
        <f t="shared" si="1"/>
        <v>2</v>
      </c>
      <c r="G4" s="22">
        <f t="shared" si="1"/>
        <v>3</v>
      </c>
      <c r="H4" s="23">
        <f t="shared" si="1"/>
        <v>4</v>
      </c>
      <c r="I4" s="6">
        <v>0.0</v>
      </c>
      <c r="K4" s="14">
        <f>WEEKDAY($K$3,1)</f>
        <v>4</v>
      </c>
    </row>
    <row r="5" ht="54.0" customHeight="1">
      <c r="A5" s="24"/>
      <c r="B5" s="25" t="str">
        <f>IF(B4="","",IFERROR(VLOOKUP(TEXT(DATE(CONFIG!$B$1,$K$2,B4),"mm-dd"),LECTURAS!$A$2:$B$1000,2,FALSE),""))</f>
        <v/>
      </c>
      <c r="C5" s="26" t="str">
        <f>IF(C4="","",IFERROR(VLOOKUP(TEXT(DATE(CONFIG!$B$1,$K$2,C4),"mm-dd"),LECTURAS!$A$2:$B$1000,2,FALSE),""))</f>
        <v/>
      </c>
      <c r="D5" s="26" t="str">
        <f>IF(D4="","",IFERROR(VLOOKUP(TEXT(DATE(CONFIG!$B$1,$K$2,D4),"mm-dd"),LECTURAS!$A$2:$B$1000,2,FALSE),""))</f>
        <v/>
      </c>
      <c r="E5" s="26" t="str">
        <f>IF(E4="","",IFERROR(VLOOKUP(TEXT(DATE(CONFIG!$B$1,$K$2,E4),"mm-dd"),LECTURAS!$A$2:$B$1000,2,FALSE),""))</f>
        <v> Josué 5–6; Proverbios 3</v>
      </c>
      <c r="F5" s="26" t="str">
        <f>IF(F4="","",IFERROR(VLOOKUP(TEXT(DATE(CONFIG!$B$1,$K$2,F4),"mm-dd"),LECTURAS!$A$2:$B$1000,2,FALSE),""))</f>
        <v> Josué 7–9; Proverbios 4–5</v>
      </c>
      <c r="G5" s="26" t="str">
        <f>IF(G4="","",IFERROR(VLOOKUP(TEXT(DATE(CONFIG!$B$1,$K$2,G4),"mm-dd"),LECTURAS!$A$2:$B$1000,2,FALSE),""))</f>
        <v> Josué 10–11; Proverbios 6</v>
      </c>
      <c r="H5" s="27" t="str">
        <f>IF(H4="","",IFERROR(VLOOKUP(TEXT(DATE(CONFIG!$B$1,$K$2,H4),"mm-dd"),LECTURAS!$A$2:$B$1000,2,FALSE),""))</f>
        <v> Josué 12–13; Proverbios 7</v>
      </c>
      <c r="I5" s="6">
        <v>0.0</v>
      </c>
      <c r="K5" s="14">
        <f>DAY(EOMONTH($K$3,0))</f>
        <v>30</v>
      </c>
    </row>
    <row r="6" ht="15.75" customHeight="1">
      <c r="A6" s="20"/>
      <c r="B6" s="21">
        <f t="shared" ref="B6:H6" si="2">IF((($I6*7 + COLUMN()-COLUMN($B$6)+1) - $K$4 + 1)&lt;1,"",IF((($I6*7 + COLUMN()-COLUMN($B$6)+1) - $K$4 + 1)&gt;$K$5,"",(($I6*7 + COLUMN()-COLUMN($B$6)+1) - $K$4 + 1)))</f>
        <v>5</v>
      </c>
      <c r="C6" s="22">
        <f t="shared" si="2"/>
        <v>6</v>
      </c>
      <c r="D6" s="22">
        <f t="shared" si="2"/>
        <v>7</v>
      </c>
      <c r="E6" s="22">
        <f t="shared" si="2"/>
        <v>8</v>
      </c>
      <c r="F6" s="22">
        <f t="shared" si="2"/>
        <v>9</v>
      </c>
      <c r="G6" s="22">
        <f t="shared" si="2"/>
        <v>10</v>
      </c>
      <c r="H6" s="23">
        <f t="shared" si="2"/>
        <v>11</v>
      </c>
      <c r="I6" s="6">
        <v>1.0</v>
      </c>
    </row>
    <row r="7" ht="54.0" customHeight="1">
      <c r="A7" s="24"/>
      <c r="B7" s="25" t="str">
        <f>IF(B6="","",IFERROR(VLOOKUP(TEXT(DATE(CONFIG!$B$1,$K$2,B6),"mm-dd"),LECTURAS!$A$2:$B$1000,2,FALSE),""))</f>
        <v> Josué 14–15; Proverbios 8</v>
      </c>
      <c r="C7" s="26" t="str">
        <f>IF(C6="","",IFERROR(VLOOKUP(TEXT(DATE(CONFIG!$B$1,$K$2,C6),"mm-dd"),LECTURAS!$A$2:$B$1000,2,FALSE),""))</f>
        <v> Josué 16–17; Proverbios 9</v>
      </c>
      <c r="D7" s="26" t="str">
        <f>IF(D6="","",IFERROR(VLOOKUP(TEXT(DATE(CONFIG!$B$1,$K$2,D6),"mm-dd"),LECTURAS!$A$2:$B$1000,2,FALSE),""))</f>
        <v> Josué 18–19; Proverbios 10</v>
      </c>
      <c r="E7" s="26" t="str">
        <f>IF(E6="","",IFERROR(VLOOKUP(TEXT(DATE(CONFIG!$B$1,$K$2,E6),"mm-dd"),LECTURAS!$A$2:$B$1000,2,FALSE),""))</f>
        <v> Josué 20–21; Proverbios 11</v>
      </c>
      <c r="F7" s="26" t="str">
        <f>IF(F6="","",IFERROR(VLOOKUP(TEXT(DATE(CONFIG!$B$1,$K$2,F6),"mm-dd"),LECTURAS!$A$2:$B$1000,2,FALSE),""))</f>
        <v> Josué 22–24; Proverbios 12–13</v>
      </c>
      <c r="G7" s="26" t="str">
        <f>IF(G6="","",IFERROR(VLOOKUP(TEXT(DATE(CONFIG!$B$1,$K$2,G6),"mm-dd"),LECTURAS!$A$2:$B$1000,2,FALSE),""))</f>
        <v> Jueces 1–2; Proverbios 14</v>
      </c>
      <c r="H7" s="27" t="str">
        <f>IF(H6="","",IFERROR(VLOOKUP(TEXT(DATE(CONFIG!$B$1,$K$2,H6),"mm-dd"),LECTURAS!$A$2:$B$1000,2,FALSE),""))</f>
        <v> Jueces 3–4; Proverbios 15</v>
      </c>
      <c r="I7" s="6">
        <v>1.0</v>
      </c>
    </row>
    <row r="8" ht="15.75" customHeight="1">
      <c r="A8" s="20"/>
      <c r="B8" s="21">
        <f t="shared" ref="B8:H8" si="3">IF((($I8*7 + COLUMN()-COLUMN($B$8)+1) - $K$4 + 1)&lt;1,"",IF((($I8*7 + COLUMN()-COLUMN($B$8)+1) - $K$4 + 1)&gt;$K$5,"",(($I8*7 + COLUMN()-COLUMN($B$8)+1) - $K$4 + 1)))</f>
        <v>12</v>
      </c>
      <c r="C8" s="22">
        <f t="shared" si="3"/>
        <v>13</v>
      </c>
      <c r="D8" s="22">
        <f t="shared" si="3"/>
        <v>14</v>
      </c>
      <c r="E8" s="22">
        <f t="shared" si="3"/>
        <v>15</v>
      </c>
      <c r="F8" s="22">
        <f t="shared" si="3"/>
        <v>16</v>
      </c>
      <c r="G8" s="22">
        <f t="shared" si="3"/>
        <v>17</v>
      </c>
      <c r="H8" s="23">
        <f t="shared" si="3"/>
        <v>18</v>
      </c>
      <c r="I8" s="6">
        <v>2.0</v>
      </c>
    </row>
    <row r="9" ht="54.0" customHeight="1">
      <c r="A9" s="24"/>
      <c r="B9" s="25" t="str">
        <f>IF(B8="","",IFERROR(VLOOKUP(TEXT(DATE(CONFIG!$B$1,$K$2,B8),"mm-dd"),LECTURAS!$A$2:$B$1000,2,FALSE),""))</f>
        <v> Jueces 5–6; Proverbios 16</v>
      </c>
      <c r="C9" s="26" t="str">
        <f>IF(C8="","",IFERROR(VLOOKUP(TEXT(DATE(CONFIG!$B$1,$K$2,C8),"mm-dd"),LECTURAS!$A$2:$B$1000,2,FALSE),""))</f>
        <v> Jueces 7–8; Proverbios 17</v>
      </c>
      <c r="D9" s="26" t="str">
        <f>IF(D8="","",IFERROR(VLOOKUP(TEXT(DATE(CONFIG!$B$1,$K$2,D8),"mm-dd"),LECTURAS!$A$2:$B$1000,2,FALSE),""))</f>
        <v> Jueces 9–10; Proverbios 18</v>
      </c>
      <c r="E9" s="26" t="str">
        <f>IF(E8="","",IFERROR(VLOOKUP(TEXT(DATE(CONFIG!$B$1,$K$2,E8),"mm-dd"),LECTURAS!$A$2:$B$1000,2,FALSE),""))</f>
        <v> Jueces 11–12; Proverbios 19</v>
      </c>
      <c r="F9" s="26" t="str">
        <f>IF(F8="","",IFERROR(VLOOKUP(TEXT(DATE(CONFIG!$B$1,$K$2,F8),"mm-dd"),LECTURAS!$A$2:$B$1000,2,FALSE),""))</f>
        <v> Jueces 13–15; Proverbios 20–21</v>
      </c>
      <c r="G9" s="26" t="str">
        <f>IF(G8="","",IFERROR(VLOOKUP(TEXT(DATE(CONFIG!$B$1,$K$2,G8),"mm-dd"),LECTURAS!$A$2:$B$1000,2,FALSE),""))</f>
        <v> Jueces 16–17; Proverbios 22</v>
      </c>
      <c r="H9" s="27" t="str">
        <f>IF(H8="","",IFERROR(VLOOKUP(TEXT(DATE(CONFIG!$B$1,$K$2,H8),"mm-dd"),LECTURAS!$A$2:$B$1000,2,FALSE),""))</f>
        <v> Jueces 18–19; Proverbios 23</v>
      </c>
      <c r="I9" s="6">
        <v>2.0</v>
      </c>
    </row>
    <row r="10" ht="15.75" customHeight="1">
      <c r="A10" s="20"/>
      <c r="B10" s="21">
        <f t="shared" ref="B10:H10" si="4">IF((($I10*7 + COLUMN()-COLUMN($B$10)+1) - $K$4 + 1)&lt;1,"",IF((($I10*7 + COLUMN()-COLUMN($B$10)+1) - $K$4 + 1)&gt;$K$5,"",(($I10*7 + COLUMN()-COLUMN($B$10)+1) - $K$4 + 1)))</f>
        <v>19</v>
      </c>
      <c r="C10" s="22">
        <f t="shared" si="4"/>
        <v>20</v>
      </c>
      <c r="D10" s="22">
        <f t="shared" si="4"/>
        <v>21</v>
      </c>
      <c r="E10" s="22">
        <f t="shared" si="4"/>
        <v>22</v>
      </c>
      <c r="F10" s="22">
        <f t="shared" si="4"/>
        <v>23</v>
      </c>
      <c r="G10" s="22">
        <f t="shared" si="4"/>
        <v>24</v>
      </c>
      <c r="H10" s="23">
        <f t="shared" si="4"/>
        <v>25</v>
      </c>
      <c r="I10" s="6">
        <v>3.0</v>
      </c>
    </row>
    <row r="11" ht="54.0" customHeight="1">
      <c r="A11" s="24"/>
      <c r="B11" s="25" t="str">
        <f>IF(B10="","",IFERROR(VLOOKUP(TEXT(DATE(CONFIG!$B$1,$K$2,B10),"mm-dd"),LECTURAS!$A$2:$B$1000,2,FALSE),""))</f>
        <v> Jueces 20–21; Proverbios 24</v>
      </c>
      <c r="C11" s="26" t="str">
        <f>IF(C10="","",IFERROR(VLOOKUP(TEXT(DATE(CONFIG!$B$1,$K$2,C10),"mm-dd"),LECTURAS!$A$2:$B$1000,2,FALSE),""))</f>
        <v> Rut 1–2; Proverbios 25</v>
      </c>
      <c r="D11" s="26" t="str">
        <f>IF(D10="","",IFERROR(VLOOKUP(TEXT(DATE(CONFIG!$B$1,$K$2,D10),"mm-dd"),LECTURAS!$A$2:$B$1000,2,FALSE),""))</f>
        <v> Rut 3–4; Proverbios 26</v>
      </c>
      <c r="E11" s="26" t="str">
        <f>IF(E10="","",IFERROR(VLOOKUP(TEXT(DATE(CONFIG!$B$1,$K$2,E10),"mm-dd"),LECTURAS!$A$2:$B$1000,2,FALSE),""))</f>
        <v> 1 Samuel 1–2; Proverbios 27</v>
      </c>
      <c r="F11" s="26" t="str">
        <f>IF(F10="","",IFERROR(VLOOKUP(TEXT(DATE(CONFIG!$B$1,$K$2,F10),"mm-dd"),LECTURAS!$A$2:$B$1000,2,FALSE),""))</f>
        <v> 1 Samuel 3; Proverbios 28–29</v>
      </c>
      <c r="G11" s="26" t="str">
        <f>IF(G10="","",IFERROR(VLOOKUP(TEXT(DATE(CONFIG!$B$1,$K$2,G10),"mm-dd"),LECTURAS!$A$2:$B$1000,2,FALSE),""))</f>
        <v> 1 Samuel 4–5; Proverbios 30</v>
      </c>
      <c r="H11" s="27" t="str">
        <f>IF(H10="","",IFERROR(VLOOKUP(TEXT(DATE(CONFIG!$B$1,$K$2,H10),"mm-dd"),LECTURAS!$A$2:$B$1000,2,FALSE),""))</f>
        <v> 1 Samuel 6–7; Proverbios 31</v>
      </c>
      <c r="I11" s="6">
        <v>3.0</v>
      </c>
    </row>
    <row r="12" ht="15.75" customHeight="1">
      <c r="A12" s="20"/>
      <c r="B12" s="21">
        <f t="shared" ref="B12:H12" si="5">IF((($I12*7 + COLUMN()-COLUMN($B$12)+1) - $K$4 + 1)&lt;1,"",IF((($I12*7 + COLUMN()-COLUMN($B$12)+1) - $K$4 + 1)&gt;$K$5,"",(($I12*7 + COLUMN()-COLUMN($B$12)+1) - $K$4 + 1)))</f>
        <v>26</v>
      </c>
      <c r="C12" s="22">
        <f t="shared" si="5"/>
        <v>27</v>
      </c>
      <c r="D12" s="22">
        <f t="shared" si="5"/>
        <v>28</v>
      </c>
      <c r="E12" s="22">
        <f t="shared" si="5"/>
        <v>29</v>
      </c>
      <c r="F12" s="22">
        <f t="shared" si="5"/>
        <v>30</v>
      </c>
      <c r="G12" s="22" t="str">
        <f t="shared" si="5"/>
        <v/>
      </c>
      <c r="H12" s="23" t="str">
        <f t="shared" si="5"/>
        <v/>
      </c>
      <c r="I12" s="6">
        <v>4.0</v>
      </c>
    </row>
    <row r="13" ht="54.0" customHeight="1">
      <c r="A13" s="24"/>
      <c r="B13" s="25" t="str">
        <f>IF(B12="","",IFERROR(VLOOKUP(TEXT(DATE(CONFIG!$B$1,$K$2,B12),"mm-dd"),LECTURAS!$A$2:$B$1000,2,FALSE),""))</f>
        <v> 1 Samuel 8–9; Salmo 1</v>
      </c>
      <c r="C13" s="26" t="str">
        <f>IF(C12="","",IFERROR(VLOOKUP(TEXT(DATE(CONFIG!$B$1,$K$2,C12),"mm-dd"),LECTURAS!$A$2:$B$1000,2,FALSE),""))</f>
        <v> 1 Samuel 10–11; Salmo 2</v>
      </c>
      <c r="D13" s="26" t="str">
        <f>IF(D12="","",IFERROR(VLOOKUP(TEXT(DATE(CONFIG!$B$1,$K$2,D12),"mm-dd"),LECTURAS!$A$2:$B$1000,2,FALSE),""))</f>
        <v> 1 Samuel 12–13; Salmo 3–4</v>
      </c>
      <c r="E13" s="26" t="str">
        <f>IF(E12="","",IFERROR(VLOOKUP(TEXT(DATE(CONFIG!$B$1,$K$2,E12),"mm-dd"),LECTURAS!$A$2:$B$1000,2,FALSE),""))</f>
        <v> 1 Samuel 14–15; Salmo 5–6</v>
      </c>
      <c r="F13" s="26" t="str">
        <f>IF(F12="","",IFERROR(VLOOKUP(TEXT(DATE(CONFIG!$B$1,$K$2,F12),"mm-dd"),LECTURAS!$A$2:$B$1000,2,FALSE),""))</f>
        <v> 1 Samuel 16–17; Salmo 7–9</v>
      </c>
      <c r="G13" s="26" t="str">
        <f>IF(G12="","",IFERROR(VLOOKUP(TEXT(DATE(CONFIG!$B$1,$K$2,G12),"mm-dd"),LECTURAS!$A$2:$B$1000,2,FALSE),""))</f>
        <v/>
      </c>
      <c r="H13" s="27" t="str">
        <f>IF(H12="","",IFERROR(VLOOKUP(TEXT(DATE(CONFIG!$B$1,$K$2,H12),"mm-dd"),LECTURAS!$A$2:$B$1000,2,FALSE),""))</f>
        <v/>
      </c>
      <c r="I13" s="6">
        <v>4.0</v>
      </c>
    </row>
    <row r="14" ht="15.75" customHeight="1">
      <c r="A14" s="20"/>
      <c r="B14" s="21" t="str">
        <f t="shared" ref="B14:H14" si="6">IF((($I14*7 + COLUMN()-COLUMN($B$14)+1) - $K$4 + 1)&lt;1,"",IF((($I14*7 + COLUMN()-COLUMN($B$14)+1) - $K$4 + 1)&gt;$K$5,"",(($I14*7 + COLUMN()-COLUMN($B$14)+1) - $K$4 + 1)))</f>
        <v/>
      </c>
      <c r="C14" s="22" t="str">
        <f t="shared" si="6"/>
        <v/>
      </c>
      <c r="D14" s="22" t="str">
        <f t="shared" si="6"/>
        <v/>
      </c>
      <c r="E14" s="22" t="str">
        <f t="shared" si="6"/>
        <v/>
      </c>
      <c r="F14" s="22" t="str">
        <f t="shared" si="6"/>
        <v/>
      </c>
      <c r="G14" s="22" t="str">
        <f t="shared" si="6"/>
        <v/>
      </c>
      <c r="H14" s="23" t="str">
        <f t="shared" si="6"/>
        <v/>
      </c>
      <c r="I14" s="6">
        <v>5.0</v>
      </c>
    </row>
    <row r="15" ht="54.0" customHeight="1">
      <c r="A15" s="24"/>
      <c r="B15" s="28" t="str">
        <f>IF(B14="","",IFERROR(VLOOKUP(TEXT(DATE(CONFIG!$B$1,$K$2,B14),"mm-dd"),LECTURAS!$A$2:$B$1000,2,FALSE),""))</f>
        <v/>
      </c>
      <c r="C15" s="29" t="str">
        <f>IF(C14="","",IFERROR(VLOOKUP(TEXT(DATE(CONFIG!$B$1,$K$2,C14),"mm-dd"),LECTURAS!$A$2:$B$1000,2,FALSE),""))</f>
        <v/>
      </c>
      <c r="D15" s="29" t="str">
        <f>IF(D14="","",IFERROR(VLOOKUP(TEXT(DATE(CONFIG!$B$1,$K$2,D14),"mm-dd"),LECTURAS!$A$2:$B$1000,2,FALSE),""))</f>
        <v/>
      </c>
      <c r="E15" s="29" t="str">
        <f>IF(E14="","",IFERROR(VLOOKUP(TEXT(DATE(CONFIG!$B$1,$K$2,E14),"mm-dd"),LECTURAS!$A$2:$B$1000,2,FALSE),""))</f>
        <v/>
      </c>
      <c r="F15" s="29" t="str">
        <f>IF(F14="","",IFERROR(VLOOKUP(TEXT(DATE(CONFIG!$B$1,$K$2,F14),"mm-dd"),LECTURAS!$A$2:$B$1000,2,FALSE),""))</f>
        <v/>
      </c>
      <c r="G15" s="29" t="str">
        <f>IF(G14="","",IFERROR(VLOOKUP(TEXT(DATE(CONFIG!$B$1,$K$2,G14),"mm-dd"),LECTURAS!$A$2:$B$1000,2,FALSE),""))</f>
        <v/>
      </c>
      <c r="H15" s="30" t="str">
        <f>IF(H14="","",IFERROR(VLOOKUP(TEXT(DATE(CONFIG!$B$1,$K$2,H14),"mm-dd"),LECTURAS!$A$2:$B$1000,2,FALSE),""))</f>
        <v/>
      </c>
      <c r="I15" s="6">
        <v>5.0</v>
      </c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  <row r="985" ht="15.75" customHeight="1">
      <c r="A985" s="9"/>
    </row>
    <row r="986" ht="15.75" customHeight="1">
      <c r="A986" s="9"/>
    </row>
    <row r="987" ht="15.75" customHeight="1">
      <c r="A987" s="9"/>
    </row>
    <row r="988" ht="15.75" customHeight="1">
      <c r="A988" s="9"/>
    </row>
    <row r="989" ht="15.75" customHeight="1">
      <c r="A989" s="9"/>
    </row>
    <row r="990" ht="15.75" customHeight="1">
      <c r="A990" s="9"/>
    </row>
    <row r="991" ht="15.75" customHeight="1">
      <c r="A991" s="9"/>
    </row>
    <row r="992" ht="15.75" customHeight="1">
      <c r="A992" s="9"/>
    </row>
    <row r="993" ht="15.75" customHeight="1">
      <c r="A993" s="9"/>
    </row>
    <row r="994" ht="15.75" customHeight="1">
      <c r="A994" s="9"/>
    </row>
    <row r="995" ht="15.75" customHeight="1">
      <c r="A995" s="9"/>
    </row>
    <row r="996" ht="15.75" customHeight="1">
      <c r="A996" s="9"/>
    </row>
    <row r="997" ht="15.75" customHeight="1">
      <c r="A997" s="9"/>
    </row>
    <row r="998" ht="15.75" customHeight="1">
      <c r="A998" s="9"/>
    </row>
    <row r="999" ht="15.75" customHeight="1">
      <c r="A999" s="9"/>
    </row>
    <row r="1000" ht="15.75" customHeight="1">
      <c r="A1000" s="9"/>
    </row>
    <row r="1001" ht="15.75" customHeight="1">
      <c r="A1001" s="9"/>
    </row>
  </sheetData>
  <mergeCells count="1">
    <mergeCell ref="B2:H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18.0"/>
    <col customWidth="1" min="8" max="10" width="3.0"/>
    <col customWidth="1" min="11" max="26" width="9.14"/>
  </cols>
  <sheetData>
    <row r="1" ht="27.75" customHeight="1">
      <c r="A1" s="11" t="s">
        <v>751</v>
      </c>
      <c r="B1" s="12"/>
      <c r="C1" s="12"/>
      <c r="D1" s="12"/>
      <c r="E1" s="12"/>
      <c r="F1" s="12"/>
      <c r="G1" s="13"/>
      <c r="J1" s="14">
        <v>5.0</v>
      </c>
    </row>
    <row r="2" ht="19.5" customHeight="1">
      <c r="A2" s="16" t="s">
        <v>741</v>
      </c>
      <c r="B2" s="17" t="s">
        <v>742</v>
      </c>
      <c r="C2" s="17" t="s">
        <v>743</v>
      </c>
      <c r="D2" s="17" t="s">
        <v>744</v>
      </c>
      <c r="E2" s="17" t="s">
        <v>745</v>
      </c>
      <c r="F2" s="17" t="s">
        <v>746</v>
      </c>
      <c r="G2" s="18" t="s">
        <v>747</v>
      </c>
      <c r="J2" s="19">
        <f>DATE(CONFIG!$B$1,$J$1,1)</f>
        <v>46143</v>
      </c>
    </row>
    <row r="3" ht="15.75" customHeight="1">
      <c r="A3" s="21" t="str">
        <f t="shared" ref="A3:G3" si="1">IF((($H3*7 + COLUMN()-COLUMN($A$3)+1) - $J$3 + 1)&lt;1,"",IF((($H3*7 + COLUMN()-COLUMN($A$3)+1) - $J$3 + 1)&gt;$J$4,"",(($H3*7 + COLUMN()-COLUMN($A$3)+1) - $J$3 + 1)))</f>
        <v/>
      </c>
      <c r="B3" s="22" t="str">
        <f t="shared" si="1"/>
        <v/>
      </c>
      <c r="C3" s="22" t="str">
        <f t="shared" si="1"/>
        <v/>
      </c>
      <c r="D3" s="22" t="str">
        <f t="shared" si="1"/>
        <v/>
      </c>
      <c r="E3" s="22" t="str">
        <f t="shared" si="1"/>
        <v/>
      </c>
      <c r="F3" s="22">
        <f t="shared" si="1"/>
        <v>1</v>
      </c>
      <c r="G3" s="23">
        <f t="shared" si="1"/>
        <v>2</v>
      </c>
      <c r="H3" s="6">
        <v>0.0</v>
      </c>
      <c r="J3" s="14">
        <f>WEEKDAY($J$2,1)</f>
        <v>6</v>
      </c>
    </row>
    <row r="4" ht="54.0" customHeight="1">
      <c r="A4" s="25" t="str">
        <f>IF(A3="","",IFERROR(VLOOKUP(TEXT(DATE(CONFIG!$B$1,$J$1,A3),"mm-dd"),LECTURAS!$A$2:$B$1000,2,FALSE),""))</f>
        <v/>
      </c>
      <c r="B4" s="26" t="str">
        <f>IF(B3="","",IFERROR(VLOOKUP(TEXT(DATE(CONFIG!$B$1,$J$1,B3),"mm-dd"),LECTURAS!$A$2:$B$1000,2,FALSE),""))</f>
        <v/>
      </c>
      <c r="C4" s="26" t="str">
        <f>IF(C3="","",IFERROR(VLOOKUP(TEXT(DATE(CONFIG!$B$1,$J$1,C3),"mm-dd"),LECTURAS!$A$2:$B$1000,2,FALSE),""))</f>
        <v/>
      </c>
      <c r="D4" s="26" t="str">
        <f>IF(D3="","",IFERROR(VLOOKUP(TEXT(DATE(CONFIG!$B$1,$J$1,D3),"mm-dd"),LECTURAS!$A$2:$B$1000,2,FALSE),""))</f>
        <v/>
      </c>
      <c r="E4" s="26" t="str">
        <f>IF(E3="","",IFERROR(VLOOKUP(TEXT(DATE(CONFIG!$B$1,$J$1,E3),"mm-dd"),LECTURAS!$A$2:$B$1000,2,FALSE),""))</f>
        <v/>
      </c>
      <c r="F4" s="26" t="str">
        <f>IF(F3="","",IFERROR(VLOOKUP(TEXT(DATE(CONFIG!$B$1,$J$1,F3),"mm-dd"),LECTURAS!$A$2:$B$1000,2,FALSE),""))</f>
        <v> 1 Samuel 18–19; Salmo 10</v>
      </c>
      <c r="G4" s="27" t="str">
        <f>IF(G3="","",IFERROR(VLOOKUP(TEXT(DATE(CONFIG!$B$1,$J$1,G3),"mm-dd"),LECTURAS!$A$2:$B$1000,2,FALSE),""))</f>
        <v> 1 Samuel 20–21; Salmo 11</v>
      </c>
      <c r="H4" s="6">
        <v>0.0</v>
      </c>
      <c r="J4" s="14">
        <f>DAY(EOMONTH($J$2,0))</f>
        <v>31</v>
      </c>
    </row>
    <row r="5" ht="15.75" customHeight="1">
      <c r="A5" s="21">
        <f t="shared" ref="A5:G5" si="2">IF((($H5*7 + COLUMN()-COLUMN($A$5)+1) - $J$3 + 1)&lt;1,"",IF((($H5*7 + COLUMN()-COLUMN($A$5)+1) - $J$3 + 1)&gt;$J$4,"",(($H5*7 + COLUMN()-COLUMN($A$5)+1) - $J$3 + 1)))</f>
        <v>3</v>
      </c>
      <c r="B5" s="22">
        <f t="shared" si="2"/>
        <v>4</v>
      </c>
      <c r="C5" s="22">
        <f t="shared" si="2"/>
        <v>5</v>
      </c>
      <c r="D5" s="22">
        <f t="shared" si="2"/>
        <v>6</v>
      </c>
      <c r="E5" s="22">
        <f t="shared" si="2"/>
        <v>7</v>
      </c>
      <c r="F5" s="22">
        <f t="shared" si="2"/>
        <v>8</v>
      </c>
      <c r="G5" s="23">
        <f t="shared" si="2"/>
        <v>9</v>
      </c>
      <c r="H5" s="6">
        <v>1.0</v>
      </c>
    </row>
    <row r="6" ht="54.0" customHeight="1">
      <c r="A6" s="25" t="str">
        <f>IF(A5="","",IFERROR(VLOOKUP(TEXT(DATE(CONFIG!$B$1,$J$1,A5),"mm-dd"),LECTURAS!$A$2:$B$1000,2,FALSE),""))</f>
        <v> 1 Samuel 22–23; Salmo 12</v>
      </c>
      <c r="B6" s="26" t="str">
        <f>IF(B5="","",IFERROR(VLOOKUP(TEXT(DATE(CONFIG!$B$1,$J$1,B5),"mm-dd"),LECTURAS!$A$2:$B$1000,2,FALSE),""))</f>
        <v> 1 Samuel 24–25; Salmo 13</v>
      </c>
      <c r="C6" s="26" t="str">
        <f>IF(C5="","",IFERROR(VLOOKUP(TEXT(DATE(CONFIG!$B$1,$J$1,C5),"mm-dd"),LECTURAS!$A$2:$B$1000,2,FALSE),""))</f>
        <v> 1 Samuel 26–27; Salmo 14</v>
      </c>
      <c r="D6" s="26" t="str">
        <f>IF(D5="","",IFERROR(VLOOKUP(TEXT(DATE(CONFIG!$B$1,$J$1,D5),"mm-dd"),LECTURAS!$A$2:$B$1000,2,FALSE),""))</f>
        <v> 1 Samuel 28–31</v>
      </c>
      <c r="E6" s="26" t="str">
        <f>IF(E5="","",IFERROR(VLOOKUP(TEXT(DATE(CONFIG!$B$1,$J$1,E5),"mm-dd"),LECTURAS!$A$2:$B$1000,2,FALSE),""))</f>
        <v> 2 Samuel 1–2; Salmo 15–17</v>
      </c>
      <c r="F6" s="26" t="str">
        <f>IF(F5="","",IFERROR(VLOOKUP(TEXT(DATE(CONFIG!$B$1,$J$1,F5),"mm-dd"),LECTURAS!$A$2:$B$1000,2,FALSE),""))</f>
        <v> 2 Samuel 3–4; Salmo 18</v>
      </c>
      <c r="G6" s="27" t="str">
        <f>IF(G5="","",IFERROR(VLOOKUP(TEXT(DATE(CONFIG!$B$1,$J$1,G5),"mm-dd"),LECTURAS!$A$2:$B$1000,2,FALSE),""))</f>
        <v> 2 Samuel 5–6; Salmo 19</v>
      </c>
      <c r="H6" s="6">
        <v>1.0</v>
      </c>
    </row>
    <row r="7" ht="15.75" customHeight="1">
      <c r="A7" s="21">
        <f t="shared" ref="A7:G7" si="3">IF((($H7*7 + COLUMN()-COLUMN($A$7)+1) - $J$3 + 1)&lt;1,"",IF((($H7*7 + COLUMN()-COLUMN($A$7)+1) - $J$3 + 1)&gt;$J$4,"",(($H7*7 + COLUMN()-COLUMN($A$7)+1) - $J$3 + 1)))</f>
        <v>10</v>
      </c>
      <c r="B7" s="22">
        <f t="shared" si="3"/>
        <v>11</v>
      </c>
      <c r="C7" s="22">
        <f t="shared" si="3"/>
        <v>12</v>
      </c>
      <c r="D7" s="22">
        <f t="shared" si="3"/>
        <v>13</v>
      </c>
      <c r="E7" s="22">
        <f t="shared" si="3"/>
        <v>14</v>
      </c>
      <c r="F7" s="22">
        <f t="shared" si="3"/>
        <v>15</v>
      </c>
      <c r="G7" s="23">
        <f t="shared" si="3"/>
        <v>16</v>
      </c>
      <c r="H7" s="6">
        <v>2.0</v>
      </c>
    </row>
    <row r="8" ht="54.0" customHeight="1">
      <c r="A8" s="25" t="str">
        <f>IF(A7="","",IFERROR(VLOOKUP(TEXT(DATE(CONFIG!$B$1,$J$1,A7),"mm-dd"),LECTURAS!$A$2:$B$1000,2,FALSE),""))</f>
        <v> 2 Samuel 7–8; Salmo 20</v>
      </c>
      <c r="B8" s="26" t="str">
        <f>IF(B7="","",IFERROR(VLOOKUP(TEXT(DATE(CONFIG!$B$1,$J$1,B7),"mm-dd"),LECTURAS!$A$2:$B$1000,2,FALSE),""))</f>
        <v> 2 Samuel 9–10; Salmo 21</v>
      </c>
      <c r="C8" s="26" t="str">
        <f>IF(C7="","",IFERROR(VLOOKUP(TEXT(DATE(CONFIG!$B$1,$J$1,C7),"mm-dd"),LECTURAS!$A$2:$B$1000,2,FALSE),""))</f>
        <v> 2 Samuel 11–12; Salmo 22</v>
      </c>
      <c r="D8" s="26" t="str">
        <f>IF(D7="","",IFERROR(VLOOKUP(TEXT(DATE(CONFIG!$B$1,$J$1,D7),"mm-dd"),LECTURAS!$A$2:$B$1000,2,FALSE),""))</f>
        <v> 2 Samuel 13–14; Salmo 23</v>
      </c>
      <c r="E8" s="26" t="str">
        <f>IF(E7="","",IFERROR(VLOOKUP(TEXT(DATE(CONFIG!$B$1,$J$1,E7),"mm-dd"),LECTURAS!$A$2:$B$1000,2,FALSE),""))</f>
        <v> 2 Samuel 15–16; Salmo 24–26</v>
      </c>
      <c r="F8" s="26" t="str">
        <f>IF(F7="","",IFERROR(VLOOKUP(TEXT(DATE(CONFIG!$B$1,$J$1,F7),"mm-dd"),LECTURAS!$A$2:$B$1000,2,FALSE),""))</f>
        <v> 2 Samuel 17–18; Salmo 27</v>
      </c>
      <c r="G8" s="27" t="str">
        <f>IF(G7="","",IFERROR(VLOOKUP(TEXT(DATE(CONFIG!$B$1,$J$1,G7),"mm-dd"),LECTURAS!$A$2:$B$1000,2,FALSE),""))</f>
        <v> 2 Samuel 19–20; Salmo 28</v>
      </c>
      <c r="H8" s="6">
        <v>2.0</v>
      </c>
    </row>
    <row r="9" ht="15.75" customHeight="1">
      <c r="A9" s="21">
        <f t="shared" ref="A9:G9" si="4">IF((($H9*7 + COLUMN()-COLUMN($A$9)+1) - $J$3 + 1)&lt;1,"",IF((($H9*7 + COLUMN()-COLUMN($A$9)+1) - $J$3 + 1)&gt;$J$4,"",(($H9*7 + COLUMN()-COLUMN($A$9)+1) - $J$3 + 1)))</f>
        <v>17</v>
      </c>
      <c r="B9" s="22">
        <f t="shared" si="4"/>
        <v>18</v>
      </c>
      <c r="C9" s="22">
        <f t="shared" si="4"/>
        <v>19</v>
      </c>
      <c r="D9" s="22">
        <f t="shared" si="4"/>
        <v>20</v>
      </c>
      <c r="E9" s="22">
        <f t="shared" si="4"/>
        <v>21</v>
      </c>
      <c r="F9" s="22">
        <f t="shared" si="4"/>
        <v>22</v>
      </c>
      <c r="G9" s="23">
        <f t="shared" si="4"/>
        <v>23</v>
      </c>
      <c r="H9" s="6">
        <v>3.0</v>
      </c>
    </row>
    <row r="10" ht="54.0" customHeight="1">
      <c r="A10" s="25" t="str">
        <f>IF(A9="","",IFERROR(VLOOKUP(TEXT(DATE(CONFIG!$B$1,$J$1,A9),"mm-dd"),LECTURAS!$A$2:$B$1000,2,FALSE),""))</f>
        <v> 2 Samuel 21–22; Salmo 29</v>
      </c>
      <c r="B10" s="26" t="str">
        <f>IF(B9="","",IFERROR(VLOOKUP(TEXT(DATE(CONFIG!$B$1,$J$1,B9),"mm-dd"),LECTURAS!$A$2:$B$1000,2,FALSE),""))</f>
        <v> 2 Samuel 23–24; Salmo 30</v>
      </c>
      <c r="C10" s="26" t="str">
        <f>IF(C9="","",IFERROR(VLOOKUP(TEXT(DATE(CONFIG!$B$1,$J$1,C9),"mm-dd"),LECTURAS!$A$2:$B$1000,2,FALSE),""))</f>
        <v> 1 Reyes 1–2; Salmo 31</v>
      </c>
      <c r="D10" s="26" t="str">
        <f>IF(D9="","",IFERROR(VLOOKUP(TEXT(DATE(CONFIG!$B$1,$J$1,D9),"mm-dd"),LECTURAS!$A$2:$B$1000,2,FALSE),""))</f>
        <v> 1 Reyes 3–4; Salmo 32–33</v>
      </c>
      <c r="E10" s="26" t="str">
        <f>IF(E9="","",IFERROR(VLOOKUP(TEXT(DATE(CONFIG!$B$1,$J$1,E9),"mm-dd"),LECTURAS!$A$2:$B$1000,2,FALSE),""))</f>
        <v> 1 Reyes 5–6; Salmo 34–35</v>
      </c>
      <c r="F10" s="26" t="str">
        <f>IF(F9="","",IFERROR(VLOOKUP(TEXT(DATE(CONFIG!$B$1,$J$1,F9),"mm-dd"),LECTURAS!$A$2:$B$1000,2,FALSE),""))</f>
        <v> 1 Reyes 7–8; Salmo 36</v>
      </c>
      <c r="G10" s="27" t="str">
        <f>IF(G9="","",IFERROR(VLOOKUP(TEXT(DATE(CONFIG!$B$1,$J$1,G9),"mm-dd"),LECTURAS!$A$2:$B$1000,2,FALSE),""))</f>
        <v> 1 Reyes 9–10; Salmo 37</v>
      </c>
      <c r="H10" s="6">
        <v>3.0</v>
      </c>
    </row>
    <row r="11" ht="15.75" customHeight="1">
      <c r="A11" s="21">
        <f t="shared" ref="A11:G11" si="5">IF((($H11*7 + COLUMN()-COLUMN($A$11)+1) - $J$3 + 1)&lt;1,"",IF((($H11*7 + COLUMN()-COLUMN($A$11)+1) - $J$3 + 1)&gt;$J$4,"",(($H11*7 + COLUMN()-COLUMN($A$11)+1) - $J$3 + 1)))</f>
        <v>24</v>
      </c>
      <c r="B11" s="22">
        <f t="shared" si="5"/>
        <v>25</v>
      </c>
      <c r="C11" s="22">
        <f t="shared" si="5"/>
        <v>26</v>
      </c>
      <c r="D11" s="22">
        <f t="shared" si="5"/>
        <v>27</v>
      </c>
      <c r="E11" s="22">
        <f t="shared" si="5"/>
        <v>28</v>
      </c>
      <c r="F11" s="22">
        <f t="shared" si="5"/>
        <v>29</v>
      </c>
      <c r="G11" s="23">
        <f t="shared" si="5"/>
        <v>30</v>
      </c>
      <c r="H11" s="6">
        <v>4.0</v>
      </c>
    </row>
    <row r="12" ht="54.0" customHeight="1">
      <c r="A12" s="25" t="str">
        <f>IF(A11="","",IFERROR(VLOOKUP(TEXT(DATE(CONFIG!$B$1,$J$1,A11),"mm-dd"),LECTURAS!$A$2:$B$1000,2,FALSE),""))</f>
        <v> 1 Reyes 11–12; Salmo 38</v>
      </c>
      <c r="B12" s="26" t="str">
        <f>IF(B11="","",IFERROR(VLOOKUP(TEXT(DATE(CONFIG!$B$1,$J$1,B11),"mm-dd"),LECTURAS!$A$2:$B$1000,2,FALSE),""))</f>
        <v> 1 Reyes 13–14; Salmo 39</v>
      </c>
      <c r="C12" s="26" t="str">
        <f>IF(C11="","",IFERROR(VLOOKUP(TEXT(DATE(CONFIG!$B$1,$J$1,C11),"mm-dd"),LECTURAS!$A$2:$B$1000,2,FALSE),""))</f>
        <v> 1 Reyes 15–16; Salmo 40</v>
      </c>
      <c r="D12" s="26" t="str">
        <f>IF(D11="","",IFERROR(VLOOKUP(TEXT(DATE(CONFIG!$B$1,$J$1,D11),"mm-dd"),LECTURAS!$A$2:$B$1000,2,FALSE),""))</f>
        <v> 1 Reyes 17–18; Salmo 41</v>
      </c>
      <c r="E12" s="26" t="str">
        <f>IF(E11="","",IFERROR(VLOOKUP(TEXT(DATE(CONFIG!$B$1,$J$1,E11),"mm-dd"),LECTURAS!$A$2:$B$1000,2,FALSE),""))</f>
        <v> 1 Reyes 19–22</v>
      </c>
      <c r="F12" s="26" t="str">
        <f>IF(F11="","",IFERROR(VLOOKUP(TEXT(DATE(CONFIG!$B$1,$J$1,F11),"mm-dd"),LECTURAS!$A$2:$B$1000,2,FALSE),""))</f>
        <v> 2 Reyes 1–2; Salmo 42–43</v>
      </c>
      <c r="G12" s="27" t="str">
        <f>IF(G11="","",IFERROR(VLOOKUP(TEXT(DATE(CONFIG!$B$1,$J$1,G11),"mm-dd"),LECTURAS!$A$2:$B$1000,2,FALSE),""))</f>
        <v> 2 Reyes 3–4; Salmo 44</v>
      </c>
      <c r="H12" s="6">
        <v>4.0</v>
      </c>
    </row>
    <row r="13" ht="15.75" customHeight="1">
      <c r="A13" s="21">
        <f t="shared" ref="A13:G13" si="6">IF((($H13*7 + COLUMN()-COLUMN($A$13)+1) - $J$3 + 1)&lt;1,"",IF((($H13*7 + COLUMN()-COLUMN($A$13)+1) - $J$3 + 1)&gt;$J$4,"",(($H13*7 + COLUMN()-COLUMN($A$13)+1) - $J$3 + 1)))</f>
        <v>31</v>
      </c>
      <c r="B13" s="22" t="str">
        <f t="shared" si="6"/>
        <v/>
      </c>
      <c r="C13" s="22" t="str">
        <f t="shared" si="6"/>
        <v/>
      </c>
      <c r="D13" s="22" t="str">
        <f t="shared" si="6"/>
        <v/>
      </c>
      <c r="E13" s="22" t="str">
        <f t="shared" si="6"/>
        <v/>
      </c>
      <c r="F13" s="22" t="str">
        <f t="shared" si="6"/>
        <v/>
      </c>
      <c r="G13" s="23" t="str">
        <f t="shared" si="6"/>
        <v/>
      </c>
      <c r="H13" s="6">
        <v>5.0</v>
      </c>
    </row>
    <row r="14" ht="54.0" customHeight="1">
      <c r="A14" s="28" t="str">
        <f>IF(A13="","",IFERROR(VLOOKUP(TEXT(DATE(CONFIG!$B$1,$J$1,A13),"mm-dd"),LECTURAS!$A$2:$B$1000,2,FALSE),""))</f>
        <v> 2 Reyes 5–6; Salmo 45</v>
      </c>
      <c r="B14" s="29" t="str">
        <f>IF(B13="","",IFERROR(VLOOKUP(TEXT(DATE(CONFIG!$B$1,$J$1,B13),"mm-dd"),LECTURAS!$A$2:$B$1000,2,FALSE),""))</f>
        <v/>
      </c>
      <c r="C14" s="29" t="str">
        <f>IF(C13="","",IFERROR(VLOOKUP(TEXT(DATE(CONFIG!$B$1,$J$1,C13),"mm-dd"),LECTURAS!$A$2:$B$1000,2,FALSE),""))</f>
        <v/>
      </c>
      <c r="D14" s="29" t="str">
        <f>IF(D13="","",IFERROR(VLOOKUP(TEXT(DATE(CONFIG!$B$1,$J$1,D13),"mm-dd"),LECTURAS!$A$2:$B$1000,2,FALSE),""))</f>
        <v/>
      </c>
      <c r="E14" s="29" t="str">
        <f>IF(E13="","",IFERROR(VLOOKUP(TEXT(DATE(CONFIG!$B$1,$J$1,E13),"mm-dd"),LECTURAS!$A$2:$B$1000,2,FALSE),""))</f>
        <v/>
      </c>
      <c r="F14" s="29" t="str">
        <f>IF(F13="","",IFERROR(VLOOKUP(TEXT(DATE(CONFIG!$B$1,$J$1,F13),"mm-dd"),LECTURAS!$A$2:$B$1000,2,FALSE),""))</f>
        <v/>
      </c>
      <c r="G14" s="30" t="str">
        <f>IF(G13="","",IFERROR(VLOOKUP(TEXT(DATE(CONFIG!$B$1,$J$1,G13),"mm-dd"),LECTURAS!$A$2:$B$1000,2,FALSE),""))</f>
        <v/>
      </c>
      <c r="H14" s="6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18.0"/>
    <col customWidth="1" min="8" max="10" width="3.0"/>
    <col customWidth="1" min="11" max="26" width="9.14"/>
  </cols>
  <sheetData>
    <row r="1" ht="27.75" customHeight="1">
      <c r="A1" s="11" t="s">
        <v>752</v>
      </c>
      <c r="B1" s="12"/>
      <c r="C1" s="12"/>
      <c r="D1" s="12"/>
      <c r="E1" s="12"/>
      <c r="F1" s="12"/>
      <c r="G1" s="13"/>
      <c r="J1" s="14">
        <v>6.0</v>
      </c>
    </row>
    <row r="2" ht="19.5" customHeight="1">
      <c r="A2" s="16" t="s">
        <v>741</v>
      </c>
      <c r="B2" s="17" t="s">
        <v>742</v>
      </c>
      <c r="C2" s="17" t="s">
        <v>743</v>
      </c>
      <c r="D2" s="17" t="s">
        <v>744</v>
      </c>
      <c r="E2" s="17" t="s">
        <v>745</v>
      </c>
      <c r="F2" s="17" t="s">
        <v>746</v>
      </c>
      <c r="G2" s="18" t="s">
        <v>747</v>
      </c>
      <c r="J2" s="19">
        <f>DATE(CONFIG!$B$1,$J$1,1)</f>
        <v>46174</v>
      </c>
    </row>
    <row r="3" ht="15.75" customHeight="1">
      <c r="A3" s="21" t="str">
        <f t="shared" ref="A3:G3" si="1">IF((($H3*7 + COLUMN()-COLUMN($A$3)+1) - $J$3 + 1)&lt;1,"",IF((($H3*7 + COLUMN()-COLUMN($A$3)+1) - $J$3 + 1)&gt;$J$4,"",(($H3*7 + COLUMN()-COLUMN($A$3)+1) - $J$3 + 1)))</f>
        <v/>
      </c>
      <c r="B3" s="22">
        <f t="shared" si="1"/>
        <v>1</v>
      </c>
      <c r="C3" s="22">
        <f t="shared" si="1"/>
        <v>2</v>
      </c>
      <c r="D3" s="22">
        <f t="shared" si="1"/>
        <v>3</v>
      </c>
      <c r="E3" s="22">
        <f t="shared" si="1"/>
        <v>4</v>
      </c>
      <c r="F3" s="22">
        <f t="shared" si="1"/>
        <v>5</v>
      </c>
      <c r="G3" s="23">
        <f t="shared" si="1"/>
        <v>6</v>
      </c>
      <c r="H3" s="6">
        <v>0.0</v>
      </c>
      <c r="J3" s="14">
        <f>WEEKDAY($J$2,1)</f>
        <v>2</v>
      </c>
    </row>
    <row r="4" ht="54.0" customHeight="1">
      <c r="A4" s="25" t="str">
        <f>IF(A3="","",IFERROR(VLOOKUP(TEXT(DATE(CONFIG!$B$1,$J$1,A3),"mm-dd"),LECTURAS!$A$2:$B$1000,2,FALSE),""))</f>
        <v/>
      </c>
      <c r="B4" s="26" t="str">
        <f>IF(B3="","",IFERROR(VLOOKUP(TEXT(DATE(CONFIG!$B$1,$J$1,B3),"mm-dd"),LECTURAS!$A$2:$B$1000,2,FALSE),""))</f>
        <v> 2 Reyes 7–8; Salmo 46</v>
      </c>
      <c r="C4" s="26" t="str">
        <f>IF(C3="","",IFERROR(VLOOKUP(TEXT(DATE(CONFIG!$B$1,$J$1,C3),"mm-dd"),LECTURAS!$A$2:$B$1000,2,FALSE),""))</f>
        <v> 2 Reyes 9–10; Abdías</v>
      </c>
      <c r="D4" s="26" t="str">
        <f>IF(D3="","",IFERROR(VLOOKUP(TEXT(DATE(CONFIG!$B$1,$J$1,D3),"mm-dd"),LECTURAS!$A$2:$B$1000,2,FALSE),""))</f>
        <v> 2 Reyes 11–12; Joel 1–2</v>
      </c>
      <c r="E4" s="26" t="str">
        <f>IF(E3="","",IFERROR(VLOOKUP(TEXT(DATE(CONFIG!$B$1,$J$1,E3),"mm-dd"),LECTURAS!$A$2:$B$1000,2,FALSE),""))</f>
        <v> 2 Reyes 13–15; Joel 3</v>
      </c>
      <c r="F4" s="26" t="str">
        <f>IF(F3="","",IFERROR(VLOOKUP(TEXT(DATE(CONFIG!$B$1,$J$1,F3),"mm-dd"),LECTURAS!$A$2:$B$1000,2,FALSE),""))</f>
        <v> Miqueas 1–3</v>
      </c>
      <c r="G4" s="27" t="str">
        <f>IF(G3="","",IFERROR(VLOOKUP(TEXT(DATE(CONFIG!$B$1,$J$1,G3),"mm-dd"),LECTURAS!$A$2:$B$1000,2,FALSE),""))</f>
        <v> Miqueas 4–6</v>
      </c>
      <c r="H4" s="6">
        <v>0.0</v>
      </c>
      <c r="J4" s="14">
        <f>DAY(EOMONTH($J$2,0))</f>
        <v>30</v>
      </c>
    </row>
    <row r="5" ht="15.75" customHeight="1">
      <c r="A5" s="21">
        <f t="shared" ref="A5:G5" si="2">IF((($H5*7 + COLUMN()-COLUMN($A$5)+1) - $J$3 + 1)&lt;1,"",IF((($H5*7 + COLUMN()-COLUMN($A$5)+1) - $J$3 + 1)&gt;$J$4,"",(($H5*7 + COLUMN()-COLUMN($A$5)+1) - $J$3 + 1)))</f>
        <v>7</v>
      </c>
      <c r="B5" s="22">
        <f t="shared" si="2"/>
        <v>8</v>
      </c>
      <c r="C5" s="22">
        <f t="shared" si="2"/>
        <v>9</v>
      </c>
      <c r="D5" s="22">
        <f t="shared" si="2"/>
        <v>10</v>
      </c>
      <c r="E5" s="22">
        <f t="shared" si="2"/>
        <v>11</v>
      </c>
      <c r="F5" s="22">
        <f t="shared" si="2"/>
        <v>12</v>
      </c>
      <c r="G5" s="23">
        <f t="shared" si="2"/>
        <v>13</v>
      </c>
      <c r="H5" s="6">
        <v>1.0</v>
      </c>
    </row>
    <row r="6" ht="54.0" customHeight="1">
      <c r="A6" s="25" t="str">
        <f>IF(A5="","",IFERROR(VLOOKUP(TEXT(DATE(CONFIG!$B$1,$J$1,A5),"mm-dd"),LECTURAS!$A$2:$B$1000,2,FALSE),""))</f>
        <v> 2 Reyes 16–17</v>
      </c>
      <c r="B6" s="26" t="str">
        <f>IF(B5="","",IFERROR(VLOOKUP(TEXT(DATE(CONFIG!$B$1,$J$1,B5),"mm-dd"),LECTURAS!$A$2:$B$1000,2,FALSE),""))</f>
        <v> 2 Reyes 18–19</v>
      </c>
      <c r="C6" s="26" t="str">
        <f>IF(C5="","",IFERROR(VLOOKUP(TEXT(DATE(CONFIG!$B$1,$J$1,C5),"mm-dd"),LECTURAS!$A$2:$B$1000,2,FALSE),""))</f>
        <v> 2 Reyes 20–21; Isaías 1–2</v>
      </c>
      <c r="D6" s="26" t="str">
        <f>IF(D5="","",IFERROR(VLOOKUP(TEXT(DATE(CONFIG!$B$1,$J$1,D5),"mm-dd"),LECTURAS!$A$2:$B$1000,2,FALSE),""))</f>
        <v> 2 Reyes 22; Isaías 3–4</v>
      </c>
      <c r="E6" s="26" t="str">
        <f>IF(E5="","",IFERROR(VLOOKUP(TEXT(DATE(CONFIG!$B$1,$J$1,E5),"mm-dd"),LECTURAS!$A$2:$B$1000,2,FALSE),""))</f>
        <v> 2 Reyes 23; Isaías 5–6</v>
      </c>
      <c r="F6" s="26" t="str">
        <f>IF(F5="","",IFERROR(VLOOKUP(TEXT(DATE(CONFIG!$B$1,$J$1,F5),"mm-dd"),LECTURAS!$A$2:$B$1000,2,FALSE),""))</f>
        <v> 2 Reyes 24; Isaías 7–8</v>
      </c>
      <c r="G6" s="27" t="str">
        <f>IF(G5="","",IFERROR(VLOOKUP(TEXT(DATE(CONFIG!$B$1,$J$1,G5),"mm-dd"),LECTURAS!$A$2:$B$1000,2,FALSE),""))</f>
        <v> 2 Reyes 25; Isaías 9–10</v>
      </c>
      <c r="H6" s="6">
        <v>1.0</v>
      </c>
    </row>
    <row r="7" ht="15.75" customHeight="1">
      <c r="A7" s="21">
        <f t="shared" ref="A7:G7" si="3">IF((($H7*7 + COLUMN()-COLUMN($A$7)+1) - $J$3 + 1)&lt;1,"",IF((($H7*7 + COLUMN()-COLUMN($A$7)+1) - $J$3 + 1)&gt;$J$4,"",(($H7*7 + COLUMN()-COLUMN($A$7)+1) - $J$3 + 1)))</f>
        <v>14</v>
      </c>
      <c r="B7" s="22">
        <f t="shared" si="3"/>
        <v>15</v>
      </c>
      <c r="C7" s="22">
        <f t="shared" si="3"/>
        <v>16</v>
      </c>
      <c r="D7" s="22">
        <f t="shared" si="3"/>
        <v>17</v>
      </c>
      <c r="E7" s="22">
        <f t="shared" si="3"/>
        <v>18</v>
      </c>
      <c r="F7" s="22">
        <f t="shared" si="3"/>
        <v>19</v>
      </c>
      <c r="G7" s="23">
        <f t="shared" si="3"/>
        <v>20</v>
      </c>
      <c r="H7" s="6">
        <v>2.0</v>
      </c>
    </row>
    <row r="8" ht="54.0" customHeight="1">
      <c r="A8" s="25" t="str">
        <f>IF(A7="","",IFERROR(VLOOKUP(TEXT(DATE(CONFIG!$B$1,$J$1,A7),"mm-dd"),LECTURAS!$A$2:$B$1000,2,FALSE),""))</f>
        <v> Isaías 11–13</v>
      </c>
      <c r="B8" s="26" t="str">
        <f>IF(B7="","",IFERROR(VLOOKUP(TEXT(DATE(CONFIG!$B$1,$J$1,B7),"mm-dd"),LECTURAS!$A$2:$B$1000,2,FALSE),""))</f>
        <v> Isaías 14–16</v>
      </c>
      <c r="C8" s="26" t="str">
        <f>IF(C7="","",IFERROR(VLOOKUP(TEXT(DATE(CONFIG!$B$1,$J$1,C7),"mm-dd"),LECTURAS!$A$2:$B$1000,2,FALSE),""))</f>
        <v> Isaías 17–19</v>
      </c>
      <c r="D8" s="26" t="str">
        <f>IF(D7="","",IFERROR(VLOOKUP(TEXT(DATE(CONFIG!$B$1,$J$1,D7),"mm-dd"),LECTURAS!$A$2:$B$1000,2,FALSE),""))</f>
        <v> Isaías 20–22</v>
      </c>
      <c r="E8" s="26" t="str">
        <f>IF(E7="","",IFERROR(VLOOKUP(TEXT(DATE(CONFIG!$B$1,$J$1,E7),"mm-dd"),LECTURAS!$A$2:$B$1000,2,FALSE),""))</f>
        <v> Isaías 23–27</v>
      </c>
      <c r="F8" s="26" t="str">
        <f>IF(F7="","",IFERROR(VLOOKUP(TEXT(DATE(CONFIG!$B$1,$J$1,F7),"mm-dd"),LECTURAS!$A$2:$B$1000,2,FALSE),""))</f>
        <v> Isaías 28–31</v>
      </c>
      <c r="G8" s="27" t="str">
        <f>IF(G7="","",IFERROR(VLOOKUP(TEXT(DATE(CONFIG!$B$1,$J$1,G7),"mm-dd"),LECTURAS!$A$2:$B$1000,2,FALSE),""))</f>
        <v> Isaías 32–35</v>
      </c>
      <c r="H8" s="6">
        <v>2.0</v>
      </c>
    </row>
    <row r="9" ht="15.75" customHeight="1">
      <c r="A9" s="21">
        <f t="shared" ref="A9:G9" si="4">IF((($H9*7 + COLUMN()-COLUMN($A$9)+1) - $J$3 + 1)&lt;1,"",IF((($H9*7 + COLUMN()-COLUMN($A$9)+1) - $J$3 + 1)&gt;$J$4,"",(($H9*7 + COLUMN()-COLUMN($A$9)+1) - $J$3 + 1)))</f>
        <v>21</v>
      </c>
      <c r="B9" s="22">
        <f t="shared" si="4"/>
        <v>22</v>
      </c>
      <c r="C9" s="22">
        <f t="shared" si="4"/>
        <v>23</v>
      </c>
      <c r="D9" s="22">
        <f t="shared" si="4"/>
        <v>24</v>
      </c>
      <c r="E9" s="22">
        <f t="shared" si="4"/>
        <v>25</v>
      </c>
      <c r="F9" s="22">
        <f t="shared" si="4"/>
        <v>26</v>
      </c>
      <c r="G9" s="23">
        <f t="shared" si="4"/>
        <v>27</v>
      </c>
      <c r="H9" s="6">
        <v>3.0</v>
      </c>
    </row>
    <row r="10" ht="54.0" customHeight="1">
      <c r="A10" s="25" t="str">
        <f>IF(A9="","",IFERROR(VLOOKUP(TEXT(DATE(CONFIG!$B$1,$J$1,A9),"mm-dd"),LECTURAS!$A$2:$B$1000,2,FALSE),""))</f>
        <v> Isaías 36–37; Salmo 47</v>
      </c>
      <c r="B10" s="26" t="str">
        <f>IF(B9="","",IFERROR(VLOOKUP(TEXT(DATE(CONFIG!$B$1,$J$1,B9),"mm-dd"),LECTURAS!$A$2:$B$1000,2,FALSE),""))</f>
        <v> 1 Crónicas 1; Oseas 1–2</v>
      </c>
      <c r="C10" s="26" t="str">
        <f>IF(C9="","",IFERROR(VLOOKUP(TEXT(DATE(CONFIG!$B$1,$J$1,C9),"mm-dd"),LECTURAS!$A$2:$B$1000,2,FALSE),""))</f>
        <v> 1 Crónicas 2; Oseas 3–4</v>
      </c>
      <c r="D10" s="26" t="str">
        <f>IF(D9="","",IFERROR(VLOOKUP(TEXT(DATE(CONFIG!$B$1,$J$1,D9),"mm-dd"),LECTURAS!$A$2:$B$1000,2,FALSE),""))</f>
        <v> 1 Crónicas 3; Oseas 5–6</v>
      </c>
      <c r="E10" s="26" t="str">
        <f>IF(E9="","",IFERROR(VLOOKUP(TEXT(DATE(CONFIG!$B$1,$J$1,E9),"mm-dd"),LECTURAS!$A$2:$B$1000,2,FALSE),""))</f>
        <v> 1 Crónicas 4; Oseas 7–10</v>
      </c>
      <c r="F10" s="26" t="str">
        <f>IF(F9="","",IFERROR(VLOOKUP(TEXT(DATE(CONFIG!$B$1,$J$1,F9),"mm-dd"),LECTURAS!$A$2:$B$1000,2,FALSE),""))</f>
        <v> 1 Crónicas 5; Oseas 11–12</v>
      </c>
      <c r="G10" s="27" t="str">
        <f>IF(G9="","",IFERROR(VLOOKUP(TEXT(DATE(CONFIG!$B$1,$J$1,G9),"mm-dd"),LECTURAS!$A$2:$B$1000,2,FALSE),""))</f>
        <v> 1 Crónicas 6; Oseas 13–14</v>
      </c>
      <c r="H10" s="6">
        <v>3.0</v>
      </c>
    </row>
    <row r="11" ht="15.75" customHeight="1">
      <c r="A11" s="21">
        <f t="shared" ref="A11:G11" si="5">IF((($H11*7 + COLUMN()-COLUMN($A$11)+1) - $J$3 + 1)&lt;1,"",IF((($H11*7 + COLUMN()-COLUMN($A$11)+1) - $J$3 + 1)&gt;$J$4,"",(($H11*7 + COLUMN()-COLUMN($A$11)+1) - $J$3 + 1)))</f>
        <v>28</v>
      </c>
      <c r="B11" s="22">
        <f t="shared" si="5"/>
        <v>29</v>
      </c>
      <c r="C11" s="22">
        <f t="shared" si="5"/>
        <v>30</v>
      </c>
      <c r="D11" s="22" t="str">
        <f t="shared" si="5"/>
        <v/>
      </c>
      <c r="E11" s="22" t="str">
        <f t="shared" si="5"/>
        <v/>
      </c>
      <c r="F11" s="22" t="str">
        <f t="shared" si="5"/>
        <v/>
      </c>
      <c r="G11" s="23" t="str">
        <f t="shared" si="5"/>
        <v/>
      </c>
      <c r="H11" s="6">
        <v>4.0</v>
      </c>
    </row>
    <row r="12" ht="54.0" customHeight="1">
      <c r="A12" s="25" t="str">
        <f>IF(A11="","",IFERROR(VLOOKUP(TEXT(DATE(CONFIG!$B$1,$J$1,A11),"mm-dd"),LECTURAS!$A$2:$B$1000,2,FALSE),""))</f>
        <v> 1 Crónicas 7; Amós 1–2</v>
      </c>
      <c r="B12" s="26" t="str">
        <f>IF(B11="","",IFERROR(VLOOKUP(TEXT(DATE(CONFIG!$B$1,$J$1,B11),"mm-dd"),LECTURAS!$A$2:$B$1000,2,FALSE),""))</f>
        <v> 1 Crónicas 8; Amós 3–4</v>
      </c>
      <c r="C12" s="26" t="str">
        <f>IF(C11="","",IFERROR(VLOOKUP(TEXT(DATE(CONFIG!$B$1,$J$1,C11),"mm-dd"),LECTURAS!$A$2:$B$1000,2,FALSE),""))</f>
        <v> 1 Crónicas 9; Amós 5–6</v>
      </c>
      <c r="D12" s="26" t="str">
        <f>IF(D11="","",IFERROR(VLOOKUP(TEXT(DATE(CONFIG!$B$1,$J$1,D11),"mm-dd"),LECTURAS!$A$2:$B$1000,2,FALSE),""))</f>
        <v/>
      </c>
      <c r="E12" s="26" t="str">
        <f>IF(E11="","",IFERROR(VLOOKUP(TEXT(DATE(CONFIG!$B$1,$J$1,E11),"mm-dd"),LECTURAS!$A$2:$B$1000,2,FALSE),""))</f>
        <v/>
      </c>
      <c r="F12" s="26" t="str">
        <f>IF(F11="","",IFERROR(VLOOKUP(TEXT(DATE(CONFIG!$B$1,$J$1,F11),"mm-dd"),LECTURAS!$A$2:$B$1000,2,FALSE),""))</f>
        <v/>
      </c>
      <c r="G12" s="27" t="str">
        <f>IF(G11="","",IFERROR(VLOOKUP(TEXT(DATE(CONFIG!$B$1,$J$1,G11),"mm-dd"),LECTURAS!$A$2:$B$1000,2,FALSE),""))</f>
        <v/>
      </c>
      <c r="H12" s="6">
        <v>4.0</v>
      </c>
    </row>
    <row r="13" ht="15.75" customHeight="1">
      <c r="A13" s="21" t="str">
        <f t="shared" ref="A13:G13" si="6">IF((($H13*7 + COLUMN()-COLUMN($A$13)+1) - $J$3 + 1)&lt;1,"",IF((($H13*7 + COLUMN()-COLUMN($A$13)+1) - $J$3 + 1)&gt;$J$4,"",(($H13*7 + COLUMN()-COLUMN($A$13)+1) - $J$3 + 1)))</f>
        <v/>
      </c>
      <c r="B13" s="22" t="str">
        <f t="shared" si="6"/>
        <v/>
      </c>
      <c r="C13" s="22" t="str">
        <f t="shared" si="6"/>
        <v/>
      </c>
      <c r="D13" s="22" t="str">
        <f t="shared" si="6"/>
        <v/>
      </c>
      <c r="E13" s="22" t="str">
        <f t="shared" si="6"/>
        <v/>
      </c>
      <c r="F13" s="22" t="str">
        <f t="shared" si="6"/>
        <v/>
      </c>
      <c r="G13" s="23" t="str">
        <f t="shared" si="6"/>
        <v/>
      </c>
      <c r="H13" s="6">
        <v>5.0</v>
      </c>
    </row>
    <row r="14" ht="54.0" customHeight="1">
      <c r="A14" s="28" t="str">
        <f>IF(A13="","",IFERROR(VLOOKUP(TEXT(DATE(CONFIG!$B$1,$J$1,A13),"mm-dd"),LECTURAS!$A$2:$B$1000,2,FALSE),""))</f>
        <v/>
      </c>
      <c r="B14" s="29" t="str">
        <f>IF(B13="","",IFERROR(VLOOKUP(TEXT(DATE(CONFIG!$B$1,$J$1,B13),"mm-dd"),LECTURAS!$A$2:$B$1000,2,FALSE),""))</f>
        <v/>
      </c>
      <c r="C14" s="29" t="str">
        <f>IF(C13="","",IFERROR(VLOOKUP(TEXT(DATE(CONFIG!$B$1,$J$1,C13),"mm-dd"),LECTURAS!$A$2:$B$1000,2,FALSE),""))</f>
        <v/>
      </c>
      <c r="D14" s="29" t="str">
        <f>IF(D13="","",IFERROR(VLOOKUP(TEXT(DATE(CONFIG!$B$1,$J$1,D13),"mm-dd"),LECTURAS!$A$2:$B$1000,2,FALSE),""))</f>
        <v/>
      </c>
      <c r="E14" s="29" t="str">
        <f>IF(E13="","",IFERROR(VLOOKUP(TEXT(DATE(CONFIG!$B$1,$J$1,E13),"mm-dd"),LECTURAS!$A$2:$B$1000,2,FALSE),""))</f>
        <v/>
      </c>
      <c r="F14" s="29" t="str">
        <f>IF(F13="","",IFERROR(VLOOKUP(TEXT(DATE(CONFIG!$B$1,$J$1,F13),"mm-dd"),LECTURAS!$A$2:$B$1000,2,FALSE),""))</f>
        <v/>
      </c>
      <c r="G14" s="30" t="str">
        <f>IF(G13="","",IFERROR(VLOOKUP(TEXT(DATE(CONFIG!$B$1,$J$1,G13),"mm-dd"),LECTURAS!$A$2:$B$1000,2,FALSE),""))</f>
        <v/>
      </c>
      <c r="H14" s="6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18.0"/>
    <col customWidth="1" min="8" max="10" width="3.0"/>
    <col customWidth="1" min="11" max="26" width="9.14"/>
  </cols>
  <sheetData>
    <row r="1" ht="27.75" customHeight="1">
      <c r="A1" s="11" t="s">
        <v>753</v>
      </c>
      <c r="B1" s="12"/>
      <c r="C1" s="12"/>
      <c r="D1" s="12"/>
      <c r="E1" s="12"/>
      <c r="F1" s="12"/>
      <c r="G1" s="13"/>
      <c r="J1" s="14">
        <v>7.0</v>
      </c>
    </row>
    <row r="2" ht="19.5" customHeight="1">
      <c r="A2" s="16" t="s">
        <v>741</v>
      </c>
      <c r="B2" s="17" t="s">
        <v>742</v>
      </c>
      <c r="C2" s="17" t="s">
        <v>743</v>
      </c>
      <c r="D2" s="17" t="s">
        <v>744</v>
      </c>
      <c r="E2" s="17" t="s">
        <v>745</v>
      </c>
      <c r="F2" s="17" t="s">
        <v>746</v>
      </c>
      <c r="G2" s="18" t="s">
        <v>747</v>
      </c>
      <c r="J2" s="19">
        <f>DATE(CONFIG!$B$1,$J$1,1)</f>
        <v>46204</v>
      </c>
    </row>
    <row r="3" ht="15.75" customHeight="1">
      <c r="A3" s="21" t="str">
        <f t="shared" ref="A3:G3" si="1">IF((($H3*7 + COLUMN()-COLUMN($A$3)+1) - $J$3 + 1)&lt;1,"",IF((($H3*7 + COLUMN()-COLUMN($A$3)+1) - $J$3 + 1)&gt;$J$4,"",(($H3*7 + COLUMN()-COLUMN($A$3)+1) - $J$3 + 1)))</f>
        <v/>
      </c>
      <c r="B3" s="22" t="str">
        <f t="shared" si="1"/>
        <v/>
      </c>
      <c r="C3" s="22" t="str">
        <f t="shared" si="1"/>
        <v/>
      </c>
      <c r="D3" s="22">
        <f t="shared" si="1"/>
        <v>1</v>
      </c>
      <c r="E3" s="22">
        <f t="shared" si="1"/>
        <v>2</v>
      </c>
      <c r="F3" s="22">
        <f t="shared" si="1"/>
        <v>3</v>
      </c>
      <c r="G3" s="23">
        <f t="shared" si="1"/>
        <v>4</v>
      </c>
      <c r="H3" s="6">
        <v>0.0</v>
      </c>
      <c r="J3" s="14">
        <f>WEEKDAY($J$2,1)</f>
        <v>4</v>
      </c>
    </row>
    <row r="4" ht="54.0" customHeight="1">
      <c r="A4" s="25" t="str">
        <f>IF(A3="","",IFERROR(VLOOKUP(TEXT(DATE(CONFIG!$B$1,$J$1,A3),"mm-dd"),LECTURAS!$A$2:$B$1000,2,FALSE),""))</f>
        <v/>
      </c>
      <c r="B4" s="26" t="str">
        <f>IF(B3="","",IFERROR(VLOOKUP(TEXT(DATE(CONFIG!$B$1,$J$1,B3),"mm-dd"),LECTURAS!$A$2:$B$1000,2,FALSE),""))</f>
        <v/>
      </c>
      <c r="C4" s="26" t="str">
        <f>IF(C3="","",IFERROR(VLOOKUP(TEXT(DATE(CONFIG!$B$1,$J$1,C3),"mm-dd"),LECTURAS!$A$2:$B$1000,2,FALSE),""))</f>
        <v/>
      </c>
      <c r="D4" s="26" t="str">
        <f>IF(D3="","",IFERROR(VLOOKUP(TEXT(DATE(CONFIG!$B$1,$J$1,D3),"mm-dd"),LECTURAS!$A$2:$B$1000,2,FALSE),""))</f>
        <v> 1 Crónicas 10; Amós 7–9</v>
      </c>
      <c r="E4" s="26" t="str">
        <f>IF(E3="","",IFERROR(VLOOKUP(TEXT(DATE(CONFIG!$B$1,$J$1,E3),"mm-dd"),LECTURAS!$A$2:$B$1000,2,FALSE),""))</f>
        <v> 1 Crónicas 11; Jonás 1–2</v>
      </c>
      <c r="F4" s="26" t="str">
        <f>IF(F3="","",IFERROR(VLOOKUP(TEXT(DATE(CONFIG!$B$1,$J$1,F3),"mm-dd"),LECTURAS!$A$2:$B$1000,2,FALSE),""))</f>
        <v> 1 Crónicas 12; Jonás 3–4</v>
      </c>
      <c r="G4" s="27" t="str">
        <f>IF(G3="","",IFERROR(VLOOKUP(TEXT(DATE(CONFIG!$B$1,$J$1,G3),"mm-dd"),LECTURAS!$A$2:$B$1000,2,FALSE),""))</f>
        <v> 1 Crónicas 13; Isaías 38–39</v>
      </c>
      <c r="H4" s="6">
        <v>0.0</v>
      </c>
      <c r="J4" s="14">
        <f>DAY(EOMONTH($J$2,0))</f>
        <v>31</v>
      </c>
    </row>
    <row r="5" ht="15.75" customHeight="1">
      <c r="A5" s="21">
        <f t="shared" ref="A5:G5" si="2">IF((($H5*7 + COLUMN()-COLUMN($A$5)+1) - $J$3 + 1)&lt;1,"",IF((($H5*7 + COLUMN()-COLUMN($A$5)+1) - $J$3 + 1)&gt;$J$4,"",(($H5*7 + COLUMN()-COLUMN($A$5)+1) - $J$3 + 1)))</f>
        <v>5</v>
      </c>
      <c r="B5" s="22">
        <f t="shared" si="2"/>
        <v>6</v>
      </c>
      <c r="C5" s="22">
        <f t="shared" si="2"/>
        <v>7</v>
      </c>
      <c r="D5" s="22">
        <f t="shared" si="2"/>
        <v>8</v>
      </c>
      <c r="E5" s="22">
        <f t="shared" si="2"/>
        <v>9</v>
      </c>
      <c r="F5" s="22">
        <f t="shared" si="2"/>
        <v>10</v>
      </c>
      <c r="G5" s="23">
        <f t="shared" si="2"/>
        <v>11</v>
      </c>
      <c r="H5" s="6">
        <v>1.0</v>
      </c>
    </row>
    <row r="6" ht="54.0" customHeight="1">
      <c r="A6" s="25" t="str">
        <f>IF(A5="","",IFERROR(VLOOKUP(TEXT(DATE(CONFIG!$B$1,$J$1,A5),"mm-dd"),LECTURAS!$A$2:$B$1000,2,FALSE),""))</f>
        <v> 1 Crónicas 14; Isaías 40–41</v>
      </c>
      <c r="B6" s="26" t="str">
        <f>IF(B5="","",IFERROR(VLOOKUP(TEXT(DATE(CONFIG!$B$1,$J$1,B5),"mm-dd"),LECTURAS!$A$2:$B$1000,2,FALSE),""))</f>
        <v> 1 Crónicas 15; Isaías 42–43</v>
      </c>
      <c r="C6" s="26" t="str">
        <f>IF(C5="","",IFERROR(VLOOKUP(TEXT(DATE(CONFIG!$B$1,$J$1,C5),"mm-dd"),LECTURAS!$A$2:$B$1000,2,FALSE),""))</f>
        <v> 1 Crónicas 16; Isaías 44–45</v>
      </c>
      <c r="D6" s="26" t="str">
        <f>IF(D5="","",IFERROR(VLOOKUP(TEXT(DATE(CONFIG!$B$1,$J$1,D5),"mm-dd"),LECTURAS!$A$2:$B$1000,2,FALSE),""))</f>
        <v> 1 Crónicas 17; Isaías 46–48</v>
      </c>
      <c r="E6" s="26" t="str">
        <f>IF(E5="","",IFERROR(VLOOKUP(TEXT(DATE(CONFIG!$B$1,$J$1,E5),"mm-dd"),LECTURAS!$A$2:$B$1000,2,FALSE),""))</f>
        <v> 1 Crónicas 18; Isaías 49–51</v>
      </c>
      <c r="F6" s="26" t="str">
        <f>IF(F5="","",IFERROR(VLOOKUP(TEXT(DATE(CONFIG!$B$1,$J$1,F5),"mm-dd"),LECTURAS!$A$2:$B$1000,2,FALSE),""))</f>
        <v> 1 Crónicas 19; Isaías 52–53</v>
      </c>
      <c r="G6" s="27" t="str">
        <f>IF(G5="","",IFERROR(VLOOKUP(TEXT(DATE(CONFIG!$B$1,$J$1,G5),"mm-dd"),LECTURAS!$A$2:$B$1000,2,FALSE),""))</f>
        <v> 1 Crónicas 20; Isaías 54–55</v>
      </c>
      <c r="H6" s="6">
        <v>1.0</v>
      </c>
    </row>
    <row r="7" ht="15.75" customHeight="1">
      <c r="A7" s="21">
        <f t="shared" ref="A7:G7" si="3">IF((($H7*7 + COLUMN()-COLUMN($A$7)+1) - $J$3 + 1)&lt;1,"",IF((($H7*7 + COLUMN()-COLUMN($A$7)+1) - $J$3 + 1)&gt;$J$4,"",(($H7*7 + COLUMN()-COLUMN($A$7)+1) - $J$3 + 1)))</f>
        <v>12</v>
      </c>
      <c r="B7" s="22">
        <f t="shared" si="3"/>
        <v>13</v>
      </c>
      <c r="C7" s="22">
        <f t="shared" si="3"/>
        <v>14</v>
      </c>
      <c r="D7" s="22">
        <f t="shared" si="3"/>
        <v>15</v>
      </c>
      <c r="E7" s="22">
        <f t="shared" si="3"/>
        <v>16</v>
      </c>
      <c r="F7" s="22">
        <f t="shared" si="3"/>
        <v>17</v>
      </c>
      <c r="G7" s="23">
        <f t="shared" si="3"/>
        <v>18</v>
      </c>
      <c r="H7" s="6">
        <v>2.0</v>
      </c>
    </row>
    <row r="8" ht="54.0" customHeight="1">
      <c r="A8" s="25" t="str">
        <f>IF(A7="","",IFERROR(VLOOKUP(TEXT(DATE(CONFIG!$B$1,$J$1,A7),"mm-dd"),LECTURAS!$A$2:$B$1000,2,FALSE),""))</f>
        <v> 1 Crónicas 21; Isaías 56–57</v>
      </c>
      <c r="B8" s="26" t="str">
        <f>IF(B7="","",IFERROR(VLOOKUP(TEXT(DATE(CONFIG!$B$1,$J$1,B7),"mm-dd"),LECTURAS!$A$2:$B$1000,2,FALSE),""))</f>
        <v> 1 Crónicas 22; Isaías 58–59</v>
      </c>
      <c r="C8" s="26" t="str">
        <f>IF(C7="","",IFERROR(VLOOKUP(TEXT(DATE(CONFIG!$B$1,$J$1,C7),"mm-dd"),LECTURAS!$A$2:$B$1000,2,FALSE),""))</f>
        <v> 1 Crónicas 23; Isaías 60–61</v>
      </c>
      <c r="D8" s="26" t="str">
        <f>IF(D7="","",IFERROR(VLOOKUP(TEXT(DATE(CONFIG!$B$1,$J$1,D7),"mm-dd"),LECTURAS!$A$2:$B$1000,2,FALSE),""))</f>
        <v> 1 Crónicas 24; Isaías 62–63</v>
      </c>
      <c r="E8" s="26" t="str">
        <f>IF(E7="","",IFERROR(VLOOKUP(TEXT(DATE(CONFIG!$B$1,$J$1,E7),"mm-dd"),LECTURAS!$A$2:$B$1000,2,FALSE),""))</f>
        <v> 1 Crónicas 25; Isaías 64–66</v>
      </c>
      <c r="F8" s="26" t="str">
        <f>IF(F7="","",IFERROR(VLOOKUP(TEXT(DATE(CONFIG!$B$1,$J$1,F7),"mm-dd"),LECTURAS!$A$2:$B$1000,2,FALSE),""))</f>
        <v> 1 Crónicas 26–27; Nahúm 1–3</v>
      </c>
      <c r="G8" s="27" t="str">
        <f>IF(G7="","",IFERROR(VLOOKUP(TEXT(DATE(CONFIG!$B$1,$J$1,G7),"mm-dd"),LECTURAS!$A$2:$B$1000,2,FALSE),""))</f>
        <v> 1 Crónicas 28; Habacuc 1–3</v>
      </c>
      <c r="H8" s="6">
        <v>2.0</v>
      </c>
    </row>
    <row r="9" ht="15.75" customHeight="1">
      <c r="A9" s="21">
        <f t="shared" ref="A9:G9" si="4">IF((($H9*7 + COLUMN()-COLUMN($A$9)+1) - $J$3 + 1)&lt;1,"",IF((($H9*7 + COLUMN()-COLUMN($A$9)+1) - $J$3 + 1)&gt;$J$4,"",(($H9*7 + COLUMN()-COLUMN($A$9)+1) - $J$3 + 1)))</f>
        <v>19</v>
      </c>
      <c r="B9" s="22">
        <f t="shared" si="4"/>
        <v>20</v>
      </c>
      <c r="C9" s="22">
        <f t="shared" si="4"/>
        <v>21</v>
      </c>
      <c r="D9" s="22">
        <f t="shared" si="4"/>
        <v>22</v>
      </c>
      <c r="E9" s="22">
        <f t="shared" si="4"/>
        <v>23</v>
      </c>
      <c r="F9" s="22">
        <f t="shared" si="4"/>
        <v>24</v>
      </c>
      <c r="G9" s="23">
        <f t="shared" si="4"/>
        <v>25</v>
      </c>
      <c r="H9" s="6">
        <v>3.0</v>
      </c>
    </row>
    <row r="10" ht="54.0" customHeight="1">
      <c r="A10" s="25" t="str">
        <f>IF(A9="","",IFERROR(VLOOKUP(TEXT(DATE(CONFIG!$B$1,$J$1,A9),"mm-dd"),LECTURAS!$A$2:$B$1000,2,FALSE),""))</f>
        <v> 1 Crónicas 29; Zacarías 1–2</v>
      </c>
      <c r="B10" s="26" t="str">
        <f>IF(B9="","",IFERROR(VLOOKUP(TEXT(DATE(CONFIG!$B$1,$J$1,B9),"mm-dd"),LECTURAS!$A$2:$B$1000,2,FALSE),""))</f>
        <v> 2 Crónicas 1; Zacarías 3</v>
      </c>
      <c r="C10" s="26" t="str">
        <f>IF(C9="","",IFERROR(VLOOKUP(TEXT(DATE(CONFIG!$B$1,$J$1,C9),"mm-dd"),LECTURAS!$A$2:$B$1000,2,FALSE),""))</f>
        <v> 2 Crónicas 2; Zacarías 4</v>
      </c>
      <c r="D10" s="26" t="str">
        <f>IF(D9="","",IFERROR(VLOOKUP(TEXT(DATE(CONFIG!$B$1,$J$1,D9),"mm-dd"),LECTURAS!$A$2:$B$1000,2,FALSE),""))</f>
        <v> 2 Crónicas 3; Zacarías 5–6</v>
      </c>
      <c r="E10" s="26" t="str">
        <f>IF(E9="","",IFERROR(VLOOKUP(TEXT(DATE(CONFIG!$B$1,$J$1,E9),"mm-dd"),LECTURAS!$A$2:$B$1000,2,FALSE),""))</f>
        <v> 2 Crónicas 4; Zacarías 7–10</v>
      </c>
      <c r="F10" s="26" t="str">
        <f>IF(F9="","",IFERROR(VLOOKUP(TEXT(DATE(CONFIG!$B$1,$J$1,F9),"mm-dd"),LECTURAS!$A$2:$B$1000,2,FALSE),""))</f>
        <v> 2 Crónicas 5; Zacarías 11–12</v>
      </c>
      <c r="G10" s="27" t="str">
        <f>IF(G9="","",IFERROR(VLOOKUP(TEXT(DATE(CONFIG!$B$1,$J$1,G9),"mm-dd"),LECTURAS!$A$2:$B$1000,2,FALSE),""))</f>
        <v> 2 Crónicas 6; Zacarías 13–14</v>
      </c>
      <c r="H10" s="6">
        <v>3.0</v>
      </c>
    </row>
    <row r="11" ht="15.75" customHeight="1">
      <c r="A11" s="21">
        <f t="shared" ref="A11:G11" si="5">IF((($H11*7 + COLUMN()-COLUMN($A$11)+1) - $J$3 + 1)&lt;1,"",IF((($H11*7 + COLUMN()-COLUMN($A$11)+1) - $J$3 + 1)&gt;$J$4,"",(($H11*7 + COLUMN()-COLUMN($A$11)+1) - $J$3 + 1)))</f>
        <v>26</v>
      </c>
      <c r="B11" s="22">
        <f t="shared" si="5"/>
        <v>27</v>
      </c>
      <c r="C11" s="22">
        <f t="shared" si="5"/>
        <v>28</v>
      </c>
      <c r="D11" s="22">
        <f t="shared" si="5"/>
        <v>29</v>
      </c>
      <c r="E11" s="22">
        <f t="shared" si="5"/>
        <v>30</v>
      </c>
      <c r="F11" s="22">
        <f t="shared" si="5"/>
        <v>31</v>
      </c>
      <c r="G11" s="23" t="str">
        <f t="shared" si="5"/>
        <v/>
      </c>
      <c r="H11" s="6">
        <v>4.0</v>
      </c>
    </row>
    <row r="12" ht="54.0" customHeight="1">
      <c r="A12" s="25" t="str">
        <f>IF(A11="","",IFERROR(VLOOKUP(TEXT(DATE(CONFIG!$B$1,$J$1,A11),"mm-dd"),LECTURAS!$A$2:$B$1000,2,FALSE),""))</f>
        <v> 2 Crónicas 7; Malaquías 1–2</v>
      </c>
      <c r="B12" s="26" t="str">
        <f>IF(B11="","",IFERROR(VLOOKUP(TEXT(DATE(CONFIG!$B$1,$J$1,B11),"mm-dd"),LECTURAS!$A$2:$B$1000,2,FALSE),""))</f>
        <v> 2 Crónicas 8; Malaquías 3–4</v>
      </c>
      <c r="C12" s="26" t="str">
        <f>IF(C11="","",IFERROR(VLOOKUP(TEXT(DATE(CONFIG!$B$1,$J$1,C11),"mm-dd"),LECTURAS!$A$2:$B$1000,2,FALSE),""))</f>
        <v> 2 Crónicas 9; Hageo 1–2</v>
      </c>
      <c r="D12" s="26" t="str">
        <f>IF(D11="","",IFERROR(VLOOKUP(TEXT(DATE(CONFIG!$B$1,$J$1,D11),"mm-dd"),LECTURAS!$A$2:$B$1000,2,FALSE),""))</f>
        <v> 2 Crónicas 10; Jeremías 1–3</v>
      </c>
      <c r="E12" s="26" t="str">
        <f>IF(E11="","",IFERROR(VLOOKUP(TEXT(DATE(CONFIG!$B$1,$J$1,E11),"mm-dd"),LECTURAS!$A$2:$B$1000,2,FALSE),""))</f>
        <v> 2 Crónicas 11; Jeremías 4–6</v>
      </c>
      <c r="F12" s="26" t="str">
        <f>IF(F11="","",IFERROR(VLOOKUP(TEXT(DATE(CONFIG!$B$1,$J$1,F11),"mm-dd"),LECTURAS!$A$2:$B$1000,2,FALSE),""))</f>
        <v> 2 Crónicas 12; Jeremías 7–8</v>
      </c>
      <c r="G12" s="27" t="str">
        <f>IF(G11="","",IFERROR(VLOOKUP(TEXT(DATE(CONFIG!$B$1,$J$1,G11),"mm-dd"),LECTURAS!$A$2:$B$1000,2,FALSE),""))</f>
        <v/>
      </c>
      <c r="H12" s="6">
        <v>4.0</v>
      </c>
    </row>
    <row r="13" ht="15.75" customHeight="1">
      <c r="A13" s="21" t="str">
        <f t="shared" ref="A13:G13" si="6">IF((($H13*7 + COLUMN()-COLUMN($A$13)+1) - $J$3 + 1)&lt;1,"",IF((($H13*7 + COLUMN()-COLUMN($A$13)+1) - $J$3 + 1)&gt;$J$4,"",(($H13*7 + COLUMN()-COLUMN($A$13)+1) - $J$3 + 1)))</f>
        <v/>
      </c>
      <c r="B13" s="22" t="str">
        <f t="shared" si="6"/>
        <v/>
      </c>
      <c r="C13" s="22" t="str">
        <f t="shared" si="6"/>
        <v/>
      </c>
      <c r="D13" s="22" t="str">
        <f t="shared" si="6"/>
        <v/>
      </c>
      <c r="E13" s="22" t="str">
        <f t="shared" si="6"/>
        <v/>
      </c>
      <c r="F13" s="22" t="str">
        <f t="shared" si="6"/>
        <v/>
      </c>
      <c r="G13" s="23" t="str">
        <f t="shared" si="6"/>
        <v/>
      </c>
      <c r="H13" s="6">
        <v>5.0</v>
      </c>
    </row>
    <row r="14" ht="54.0" customHeight="1">
      <c r="A14" s="28" t="str">
        <f>IF(A13="","",IFERROR(VLOOKUP(TEXT(DATE(CONFIG!$B$1,$J$1,A13),"mm-dd"),LECTURAS!$A$2:$B$1000,2,FALSE),""))</f>
        <v/>
      </c>
      <c r="B14" s="29" t="str">
        <f>IF(B13="","",IFERROR(VLOOKUP(TEXT(DATE(CONFIG!$B$1,$J$1,B13),"mm-dd"),LECTURAS!$A$2:$B$1000,2,FALSE),""))</f>
        <v/>
      </c>
      <c r="C14" s="29" t="str">
        <f>IF(C13="","",IFERROR(VLOOKUP(TEXT(DATE(CONFIG!$B$1,$J$1,C13),"mm-dd"),LECTURAS!$A$2:$B$1000,2,FALSE),""))</f>
        <v/>
      </c>
      <c r="D14" s="29" t="str">
        <f>IF(D13="","",IFERROR(VLOOKUP(TEXT(DATE(CONFIG!$B$1,$J$1,D13),"mm-dd"),LECTURAS!$A$2:$B$1000,2,FALSE),""))</f>
        <v/>
      </c>
      <c r="E14" s="29" t="str">
        <f>IF(E13="","",IFERROR(VLOOKUP(TEXT(DATE(CONFIG!$B$1,$J$1,E13),"mm-dd"),LECTURAS!$A$2:$B$1000,2,FALSE),""))</f>
        <v/>
      </c>
      <c r="F14" s="29" t="str">
        <f>IF(F13="","",IFERROR(VLOOKUP(TEXT(DATE(CONFIG!$B$1,$J$1,F13),"mm-dd"),LECTURAS!$A$2:$B$1000,2,FALSE),""))</f>
        <v/>
      </c>
      <c r="G14" s="30" t="str">
        <f>IF(G13="","",IFERROR(VLOOKUP(TEXT(DATE(CONFIG!$B$1,$J$1,G13),"mm-dd"),LECTURAS!$A$2:$B$1000,2,FALSE),""))</f>
        <v/>
      </c>
      <c r="H14" s="6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18.0"/>
    <col customWidth="1" min="8" max="10" width="3.0"/>
    <col customWidth="1" min="11" max="26" width="9.14"/>
  </cols>
  <sheetData>
    <row r="1" ht="27.75" customHeight="1">
      <c r="A1" s="11" t="s">
        <v>754</v>
      </c>
      <c r="B1" s="12"/>
      <c r="C1" s="12"/>
      <c r="D1" s="12"/>
      <c r="E1" s="12"/>
      <c r="F1" s="12"/>
      <c r="G1" s="13"/>
      <c r="J1" s="14">
        <v>8.0</v>
      </c>
    </row>
    <row r="2" ht="19.5" customHeight="1">
      <c r="A2" s="16" t="s">
        <v>741</v>
      </c>
      <c r="B2" s="17" t="s">
        <v>742</v>
      </c>
      <c r="C2" s="17" t="s">
        <v>743</v>
      </c>
      <c r="D2" s="17" t="s">
        <v>744</v>
      </c>
      <c r="E2" s="17" t="s">
        <v>745</v>
      </c>
      <c r="F2" s="17" t="s">
        <v>746</v>
      </c>
      <c r="G2" s="18" t="s">
        <v>747</v>
      </c>
      <c r="J2" s="19">
        <f>DATE(CONFIG!$B$1,$J$1,1)</f>
        <v>46235</v>
      </c>
    </row>
    <row r="3" ht="15.75" customHeight="1">
      <c r="A3" s="21" t="str">
        <f t="shared" ref="A3:G3" si="1">IF((($H3*7 + COLUMN()-COLUMN($A$3)+1) - $J$3 + 1)&lt;1,"",IF((($H3*7 + COLUMN()-COLUMN($A$3)+1) - $J$3 + 1)&gt;$J$4,"",(($H3*7 + COLUMN()-COLUMN($A$3)+1) - $J$3 + 1)))</f>
        <v/>
      </c>
      <c r="B3" s="22" t="str">
        <f t="shared" si="1"/>
        <v/>
      </c>
      <c r="C3" s="22" t="str">
        <f t="shared" si="1"/>
        <v/>
      </c>
      <c r="D3" s="22" t="str">
        <f t="shared" si="1"/>
        <v/>
      </c>
      <c r="E3" s="22" t="str">
        <f t="shared" si="1"/>
        <v/>
      </c>
      <c r="F3" s="22" t="str">
        <f t="shared" si="1"/>
        <v/>
      </c>
      <c r="G3" s="23">
        <f t="shared" si="1"/>
        <v>1</v>
      </c>
      <c r="H3" s="6">
        <v>0.0</v>
      </c>
      <c r="J3" s="14">
        <f>WEEKDAY($J$2,1)</f>
        <v>7</v>
      </c>
    </row>
    <row r="4" ht="54.0" customHeight="1">
      <c r="A4" s="25" t="str">
        <f>IF(A3="","",IFERROR(VLOOKUP(TEXT(DATE(CONFIG!$B$1,$J$1,A3),"mm-dd"),LECTURAS!$A$2:$B$1000,2,FALSE),""))</f>
        <v/>
      </c>
      <c r="B4" s="26" t="str">
        <f>IF(B3="","",IFERROR(VLOOKUP(TEXT(DATE(CONFIG!$B$1,$J$1,B3),"mm-dd"),LECTURAS!$A$2:$B$1000,2,FALSE),""))</f>
        <v/>
      </c>
      <c r="C4" s="26" t="str">
        <f>IF(C3="","",IFERROR(VLOOKUP(TEXT(DATE(CONFIG!$B$1,$J$1,C3),"mm-dd"),LECTURAS!$A$2:$B$1000,2,FALSE),""))</f>
        <v/>
      </c>
      <c r="D4" s="26" t="str">
        <f>IF(D3="","",IFERROR(VLOOKUP(TEXT(DATE(CONFIG!$B$1,$J$1,D3),"mm-dd"),LECTURAS!$A$2:$B$1000,2,FALSE),""))</f>
        <v/>
      </c>
      <c r="E4" s="26" t="str">
        <f>IF(E3="","",IFERROR(VLOOKUP(TEXT(DATE(CONFIG!$B$1,$J$1,E3),"mm-dd"),LECTURAS!$A$2:$B$1000,2,FALSE),""))</f>
        <v/>
      </c>
      <c r="F4" s="26" t="str">
        <f>IF(F3="","",IFERROR(VLOOKUP(TEXT(DATE(CONFIG!$B$1,$J$1,F3),"mm-dd"),LECTURAS!$A$2:$B$1000,2,FALSE),""))</f>
        <v/>
      </c>
      <c r="G4" s="27" t="str">
        <f>IF(G3="","",IFERROR(VLOOKUP(TEXT(DATE(CONFIG!$B$1,$J$1,G3),"mm-dd"),LECTURAS!$A$2:$B$1000,2,FALSE),""))</f>
        <v> 2 Crónicas 13; Jeremías 9–10</v>
      </c>
      <c r="H4" s="6">
        <v>0.0</v>
      </c>
      <c r="J4" s="14">
        <f>DAY(EOMONTH($J$2,0))</f>
        <v>31</v>
      </c>
    </row>
    <row r="5" ht="15.75" customHeight="1">
      <c r="A5" s="21">
        <f t="shared" ref="A5:G5" si="2">IF((($H5*7 + COLUMN()-COLUMN($A$5)+1) - $J$3 + 1)&lt;1,"",IF((($H5*7 + COLUMN()-COLUMN($A$5)+1) - $J$3 + 1)&gt;$J$4,"",(($H5*7 + COLUMN()-COLUMN($A$5)+1) - $J$3 + 1)))</f>
        <v>2</v>
      </c>
      <c r="B5" s="22">
        <f t="shared" si="2"/>
        <v>3</v>
      </c>
      <c r="C5" s="22">
        <f t="shared" si="2"/>
        <v>4</v>
      </c>
      <c r="D5" s="22">
        <f t="shared" si="2"/>
        <v>5</v>
      </c>
      <c r="E5" s="22">
        <f t="shared" si="2"/>
        <v>6</v>
      </c>
      <c r="F5" s="22">
        <f t="shared" si="2"/>
        <v>7</v>
      </c>
      <c r="G5" s="23">
        <f t="shared" si="2"/>
        <v>8</v>
      </c>
      <c r="H5" s="6">
        <v>1.0</v>
      </c>
    </row>
    <row r="6" ht="54.0" customHeight="1">
      <c r="A6" s="25" t="str">
        <f>IF(A5="","",IFERROR(VLOOKUP(TEXT(DATE(CONFIG!$B$1,$J$1,A5),"mm-dd"),LECTURAS!$A$2:$B$1000,2,FALSE),""))</f>
        <v> 2 Crónicas 14; Jeremías 11–12</v>
      </c>
      <c r="B6" s="26" t="str">
        <f>IF(B5="","",IFERROR(VLOOKUP(TEXT(DATE(CONFIG!$B$1,$J$1,B5),"mm-dd"),LECTURAS!$A$2:$B$1000,2,FALSE),""))</f>
        <v> 2 Crónicas 15; Jeremías 13–14</v>
      </c>
      <c r="C6" s="26" t="str">
        <f>IF(C5="","",IFERROR(VLOOKUP(TEXT(DATE(CONFIG!$B$1,$J$1,C5),"mm-dd"),LECTURAS!$A$2:$B$1000,2,FALSE),""))</f>
        <v> 2 Crónicas 16; Jeremías 15–16</v>
      </c>
      <c r="D6" s="26" t="str">
        <f>IF(D5="","",IFERROR(VLOOKUP(TEXT(DATE(CONFIG!$B$1,$J$1,D5),"mm-dd"),LECTURAS!$A$2:$B$1000,2,FALSE),""))</f>
        <v> 2 Crónicas 17; Jeremías 17–19</v>
      </c>
      <c r="E6" s="26" t="str">
        <f>IF(E5="","",IFERROR(VLOOKUP(TEXT(DATE(CONFIG!$B$1,$J$1,E5),"mm-dd"),LECTURAS!$A$2:$B$1000,2,FALSE),""))</f>
        <v> 2 Crónicas 18; Jeremías 20–22</v>
      </c>
      <c r="F6" s="26" t="str">
        <f>IF(F5="","",IFERROR(VLOOKUP(TEXT(DATE(CONFIG!$B$1,$J$1,F5),"mm-dd"),LECTURAS!$A$2:$B$1000,2,FALSE),""))</f>
        <v> 2 Crónicas 19; Jeremías 23–24</v>
      </c>
      <c r="G6" s="27" t="str">
        <f>IF(G5="","",IFERROR(VLOOKUP(TEXT(DATE(CONFIG!$B$1,$J$1,G5),"mm-dd"),LECTURAS!$A$2:$B$1000,2,FALSE),""))</f>
        <v> 2 Crónicas 20; Jeremías 25–26</v>
      </c>
      <c r="H6" s="6">
        <v>1.0</v>
      </c>
    </row>
    <row r="7" ht="15.75" customHeight="1">
      <c r="A7" s="21">
        <f t="shared" ref="A7:G7" si="3">IF((($H7*7 + COLUMN()-COLUMN($A$7)+1) - $J$3 + 1)&lt;1,"",IF((($H7*7 + COLUMN()-COLUMN($A$7)+1) - $J$3 + 1)&gt;$J$4,"",(($H7*7 + COLUMN()-COLUMN($A$7)+1) - $J$3 + 1)))</f>
        <v>9</v>
      </c>
      <c r="B7" s="22">
        <f t="shared" si="3"/>
        <v>10</v>
      </c>
      <c r="C7" s="22">
        <f t="shared" si="3"/>
        <v>11</v>
      </c>
      <c r="D7" s="22">
        <f t="shared" si="3"/>
        <v>12</v>
      </c>
      <c r="E7" s="22">
        <f t="shared" si="3"/>
        <v>13</v>
      </c>
      <c r="F7" s="22">
        <f t="shared" si="3"/>
        <v>14</v>
      </c>
      <c r="G7" s="23">
        <f t="shared" si="3"/>
        <v>15</v>
      </c>
      <c r="H7" s="6">
        <v>2.0</v>
      </c>
    </row>
    <row r="8" ht="54.0" customHeight="1">
      <c r="A8" s="25" t="str">
        <f>IF(A7="","",IFERROR(VLOOKUP(TEXT(DATE(CONFIG!$B$1,$J$1,A7),"mm-dd"),LECTURAS!$A$2:$B$1000,2,FALSE),""))</f>
        <v> 2 Crónicas 21; Jeremías 27–28</v>
      </c>
      <c r="B8" s="26" t="str">
        <f>IF(B7="","",IFERROR(VLOOKUP(TEXT(DATE(CONFIG!$B$1,$J$1,B7),"mm-dd"),LECTURAS!$A$2:$B$1000,2,FALSE),""))</f>
        <v> 2 Crónicas 22; Jeremías 29–30</v>
      </c>
      <c r="C8" s="26" t="str">
        <f>IF(C7="","",IFERROR(VLOOKUP(TEXT(DATE(CONFIG!$B$1,$J$1,C7),"mm-dd"),LECTURAS!$A$2:$B$1000,2,FALSE),""))</f>
        <v> 2 Crónicas 23; Jeremías 31–32</v>
      </c>
      <c r="D8" s="26" t="str">
        <f>IF(D7="","",IFERROR(VLOOKUP(TEXT(DATE(CONFIG!$B$1,$J$1,D7),"mm-dd"),LECTURAS!$A$2:$B$1000,2,FALSE),""))</f>
        <v> 2 Crónicas 24; Jeremías 33–34</v>
      </c>
      <c r="E8" s="26" t="str">
        <f>IF(E7="","",IFERROR(VLOOKUP(TEXT(DATE(CONFIG!$B$1,$J$1,E7),"mm-dd"),LECTURAS!$A$2:$B$1000,2,FALSE),""))</f>
        <v> 2 Crónicas 25; Jeremías 35–37</v>
      </c>
      <c r="F8" s="26" t="str">
        <f>IF(F7="","",IFERROR(VLOOKUP(TEXT(DATE(CONFIG!$B$1,$J$1,F7),"mm-dd"),LECTURAS!$A$2:$B$1000,2,FALSE),""))</f>
        <v> 2 Crónicas 26; Jeremías 38–39</v>
      </c>
      <c r="G8" s="27" t="str">
        <f>IF(G7="","",IFERROR(VLOOKUP(TEXT(DATE(CONFIG!$B$1,$J$1,G7),"mm-dd"),LECTURAS!$A$2:$B$1000,2,FALSE),""))</f>
        <v> 2 Crónicas 27; Jeremías 40–42</v>
      </c>
      <c r="H8" s="6">
        <v>2.0</v>
      </c>
    </row>
    <row r="9" ht="15.75" customHeight="1">
      <c r="A9" s="21">
        <f t="shared" ref="A9:G9" si="4">IF((($H9*7 + COLUMN()-COLUMN($A$9)+1) - $J$3 + 1)&lt;1,"",IF((($H9*7 + COLUMN()-COLUMN($A$9)+1) - $J$3 + 1)&gt;$J$4,"",(($H9*7 + COLUMN()-COLUMN($A$9)+1) - $J$3 + 1)))</f>
        <v>16</v>
      </c>
      <c r="B9" s="22">
        <f t="shared" si="4"/>
        <v>17</v>
      </c>
      <c r="C9" s="22">
        <f t="shared" si="4"/>
        <v>18</v>
      </c>
      <c r="D9" s="22">
        <f t="shared" si="4"/>
        <v>19</v>
      </c>
      <c r="E9" s="22">
        <f t="shared" si="4"/>
        <v>20</v>
      </c>
      <c r="F9" s="22">
        <f t="shared" si="4"/>
        <v>21</v>
      </c>
      <c r="G9" s="23">
        <f t="shared" si="4"/>
        <v>22</v>
      </c>
      <c r="H9" s="6">
        <v>3.0</v>
      </c>
    </row>
    <row r="10" ht="54.0" customHeight="1">
      <c r="A10" s="25" t="str">
        <f>IF(A9="","",IFERROR(VLOOKUP(TEXT(DATE(CONFIG!$B$1,$J$1,A9),"mm-dd"),LECTURAS!$A$2:$B$1000,2,FALSE),""))</f>
        <v> 2 Crónicas 28; Jeremías 43–44</v>
      </c>
      <c r="B10" s="26" t="str">
        <f>IF(B9="","",IFERROR(VLOOKUP(TEXT(DATE(CONFIG!$B$1,$J$1,B9),"mm-dd"),LECTURAS!$A$2:$B$1000,2,FALSE),""))</f>
        <v> 2 Crónicas 29; Jeremías 45–46</v>
      </c>
      <c r="C10" s="26" t="str">
        <f>IF(C9="","",IFERROR(VLOOKUP(TEXT(DATE(CONFIG!$B$1,$J$1,C9),"mm-dd"),LECTURAS!$A$2:$B$1000,2,FALSE),""))</f>
        <v> 2 Crónicas 30; Jeremías 47–48</v>
      </c>
      <c r="D10" s="26" t="str">
        <f>IF(D9="","",IFERROR(VLOOKUP(TEXT(DATE(CONFIG!$B$1,$J$1,D9),"mm-dd"),LECTURAS!$A$2:$B$1000,2,FALSE),""))</f>
        <v> 2 Crónicas 31; Jeremías 49–50</v>
      </c>
      <c r="E10" s="26" t="str">
        <f>IF(E9="","",IFERROR(VLOOKUP(TEXT(DATE(CONFIG!$B$1,$J$1,E9),"mm-dd"),LECTURAS!$A$2:$B$1000,2,FALSE),""))</f>
        <v> 2 Crónicas 32; Jeremías 51–52</v>
      </c>
      <c r="F10" s="26" t="str">
        <f>IF(F9="","",IFERROR(VLOOKUP(TEXT(DATE(CONFIG!$B$1,$J$1,F9),"mm-dd"),LECTURAS!$A$2:$B$1000,2,FALSE),""))</f>
        <v> 2 Crónicas 33; Lamentaciones 1–3</v>
      </c>
      <c r="G10" s="27" t="str">
        <f>IF(G9="","",IFERROR(VLOOKUP(TEXT(DATE(CONFIG!$B$1,$J$1,G9),"mm-dd"),LECTURAS!$A$2:$B$1000,2,FALSE),""))</f>
        <v> 2 Crónicas 34; Ezequiel 1–2</v>
      </c>
      <c r="H10" s="6">
        <v>3.0</v>
      </c>
    </row>
    <row r="11" ht="15.75" customHeight="1">
      <c r="A11" s="21">
        <f t="shared" ref="A11:G11" si="5">IF((($H11*7 + COLUMN()-COLUMN($A$11)+1) - $J$3 + 1)&lt;1,"",IF((($H11*7 + COLUMN()-COLUMN($A$11)+1) - $J$3 + 1)&gt;$J$4,"",(($H11*7 + COLUMN()-COLUMN($A$11)+1) - $J$3 + 1)))</f>
        <v>23</v>
      </c>
      <c r="B11" s="22">
        <f t="shared" si="5"/>
        <v>24</v>
      </c>
      <c r="C11" s="22">
        <f t="shared" si="5"/>
        <v>25</v>
      </c>
      <c r="D11" s="22">
        <f t="shared" si="5"/>
        <v>26</v>
      </c>
      <c r="E11" s="22">
        <f t="shared" si="5"/>
        <v>27</v>
      </c>
      <c r="F11" s="22">
        <f t="shared" si="5"/>
        <v>28</v>
      </c>
      <c r="G11" s="23">
        <f t="shared" si="5"/>
        <v>29</v>
      </c>
      <c r="H11" s="6">
        <v>4.0</v>
      </c>
    </row>
    <row r="12" ht="54.0" customHeight="1">
      <c r="A12" s="25" t="str">
        <f>IF(A11="","",IFERROR(VLOOKUP(TEXT(DATE(CONFIG!$B$1,$J$1,A11),"mm-dd"),LECTURAS!$A$2:$B$1000,2,FALSE),""))</f>
        <v> 2 Crónicas 35; Ezequiel 3–4</v>
      </c>
      <c r="B12" s="26" t="str">
        <f>IF(B11="","",IFERROR(VLOOKUP(TEXT(DATE(CONFIG!$B$1,$J$1,B11),"mm-dd"),LECTURAS!$A$2:$B$1000,2,FALSE),""))</f>
        <v> 2 Crónicas 36; Ezequiel 5–6</v>
      </c>
      <c r="C12" s="26" t="str">
        <f>IF(C11="","",IFERROR(VLOOKUP(TEXT(DATE(CONFIG!$B$1,$J$1,C11),"mm-dd"),LECTURAS!$A$2:$B$1000,2,FALSE),""))</f>
        <v> Ezequiel 7–9; Lamentaciones 4–5</v>
      </c>
      <c r="D12" s="26" t="str">
        <f>IF(D11="","",IFERROR(VLOOKUP(TEXT(DATE(CONFIG!$B$1,$J$1,D11),"mm-dd"),LECTURAS!$A$2:$B$1000,2,FALSE),""))</f>
        <v> Ezequiel 10–13</v>
      </c>
      <c r="E12" s="26" t="str">
        <f>IF(E11="","",IFERROR(VLOOKUP(TEXT(DATE(CONFIG!$B$1,$J$1,E11),"mm-dd"),LECTURAS!$A$2:$B$1000,2,FALSE),""))</f>
        <v> Ezequiel 14–16</v>
      </c>
      <c r="F12" s="26" t="str">
        <f>IF(F11="","",IFERROR(VLOOKUP(TEXT(DATE(CONFIG!$B$1,$J$1,F11),"mm-dd"),LECTURAS!$A$2:$B$1000,2,FALSE),""))</f>
        <v> Ezequiel 17–19</v>
      </c>
      <c r="G12" s="27" t="str">
        <f>IF(G11="","",IFERROR(VLOOKUP(TEXT(DATE(CONFIG!$B$1,$J$1,G11),"mm-dd"),LECTURAS!$A$2:$B$1000,2,FALSE),""))</f>
        <v> Ezequiel 20–22</v>
      </c>
      <c r="H12" s="6">
        <v>4.0</v>
      </c>
    </row>
    <row r="13" ht="15.75" customHeight="1">
      <c r="A13" s="21">
        <f t="shared" ref="A13:G13" si="6">IF((($H13*7 + COLUMN()-COLUMN($A$13)+1) - $J$3 + 1)&lt;1,"",IF((($H13*7 + COLUMN()-COLUMN($A$13)+1) - $J$3 + 1)&gt;$J$4,"",(($H13*7 + COLUMN()-COLUMN($A$13)+1) - $J$3 + 1)))</f>
        <v>30</v>
      </c>
      <c r="B13" s="22">
        <f t="shared" si="6"/>
        <v>31</v>
      </c>
      <c r="C13" s="22" t="str">
        <f t="shared" si="6"/>
        <v/>
      </c>
      <c r="D13" s="22" t="str">
        <f t="shared" si="6"/>
        <v/>
      </c>
      <c r="E13" s="22" t="str">
        <f t="shared" si="6"/>
        <v/>
      </c>
      <c r="F13" s="22" t="str">
        <f t="shared" si="6"/>
        <v/>
      </c>
      <c r="G13" s="23" t="str">
        <f t="shared" si="6"/>
        <v/>
      </c>
      <c r="H13" s="6">
        <v>5.0</v>
      </c>
    </row>
    <row r="14" ht="54.0" customHeight="1">
      <c r="A14" s="28" t="str">
        <f>IF(A13="","",IFERROR(VLOOKUP(TEXT(DATE(CONFIG!$B$1,$J$1,A13),"mm-dd"),LECTURAS!$A$2:$B$1000,2,FALSE),""))</f>
        <v> Ezequiel 23–25</v>
      </c>
      <c r="B14" s="29" t="str">
        <f>IF(B13="","",IFERROR(VLOOKUP(TEXT(DATE(CONFIG!$B$1,$J$1,B13),"mm-dd"),LECTURAS!$A$2:$B$1000,2,FALSE),""))</f>
        <v> Ezequiel 26–29</v>
      </c>
      <c r="C14" s="29" t="str">
        <f>IF(C13="","",IFERROR(VLOOKUP(TEXT(DATE(CONFIG!$B$1,$J$1,C13),"mm-dd"),LECTURAS!$A$2:$B$1000,2,FALSE),""))</f>
        <v/>
      </c>
      <c r="D14" s="29" t="str">
        <f>IF(D13="","",IFERROR(VLOOKUP(TEXT(DATE(CONFIG!$B$1,$J$1,D13),"mm-dd"),LECTURAS!$A$2:$B$1000,2,FALSE),""))</f>
        <v/>
      </c>
      <c r="E14" s="29" t="str">
        <f>IF(E13="","",IFERROR(VLOOKUP(TEXT(DATE(CONFIG!$B$1,$J$1,E13),"mm-dd"),LECTURAS!$A$2:$B$1000,2,FALSE),""))</f>
        <v/>
      </c>
      <c r="F14" s="29" t="str">
        <f>IF(F13="","",IFERROR(VLOOKUP(TEXT(DATE(CONFIG!$B$1,$J$1,F13),"mm-dd"),LECTURAS!$A$2:$B$1000,2,FALSE),""))</f>
        <v/>
      </c>
      <c r="G14" s="30" t="str">
        <f>IF(G13="","",IFERROR(VLOOKUP(TEXT(DATE(CONFIG!$B$1,$J$1,G13),"mm-dd"),LECTURAS!$A$2:$B$1000,2,FALSE),""))</f>
        <v/>
      </c>
      <c r="H14" s="6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18.0"/>
    <col customWidth="1" min="8" max="10" width="3.0"/>
    <col customWidth="1" min="11" max="26" width="9.14"/>
  </cols>
  <sheetData>
    <row r="1" ht="27.75" customHeight="1">
      <c r="A1" s="11" t="s">
        <v>755</v>
      </c>
      <c r="B1" s="12"/>
      <c r="C1" s="12"/>
      <c r="D1" s="12"/>
      <c r="E1" s="12"/>
      <c r="F1" s="12"/>
      <c r="G1" s="13"/>
      <c r="J1" s="14">
        <v>9.0</v>
      </c>
    </row>
    <row r="2" ht="19.5" customHeight="1">
      <c r="A2" s="16" t="s">
        <v>741</v>
      </c>
      <c r="B2" s="17" t="s">
        <v>742</v>
      </c>
      <c r="C2" s="17" t="s">
        <v>743</v>
      </c>
      <c r="D2" s="17" t="s">
        <v>744</v>
      </c>
      <c r="E2" s="17" t="s">
        <v>745</v>
      </c>
      <c r="F2" s="17" t="s">
        <v>746</v>
      </c>
      <c r="G2" s="18" t="s">
        <v>747</v>
      </c>
      <c r="J2" s="19">
        <f>DATE(CONFIG!$B$1,$J$1,1)</f>
        <v>46266</v>
      </c>
    </row>
    <row r="3" ht="15.75" customHeight="1">
      <c r="A3" s="21" t="str">
        <f t="shared" ref="A3:G3" si="1">IF((($H3*7 + COLUMN()-COLUMN($A$3)+1) - $J$3 + 1)&lt;1,"",IF((($H3*7 + COLUMN()-COLUMN($A$3)+1) - $J$3 + 1)&gt;$J$4,"",(($H3*7 + COLUMN()-COLUMN($A$3)+1) - $J$3 + 1)))</f>
        <v/>
      </c>
      <c r="B3" s="22" t="str">
        <f t="shared" si="1"/>
        <v/>
      </c>
      <c r="C3" s="22">
        <f t="shared" si="1"/>
        <v>1</v>
      </c>
      <c r="D3" s="22">
        <f t="shared" si="1"/>
        <v>2</v>
      </c>
      <c r="E3" s="22">
        <f t="shared" si="1"/>
        <v>3</v>
      </c>
      <c r="F3" s="22">
        <f t="shared" si="1"/>
        <v>4</v>
      </c>
      <c r="G3" s="23">
        <f t="shared" si="1"/>
        <v>5</v>
      </c>
      <c r="H3" s="6">
        <v>0.0</v>
      </c>
      <c r="J3" s="14">
        <f>WEEKDAY($J$2,1)</f>
        <v>3</v>
      </c>
    </row>
    <row r="4" ht="54.0" customHeight="1">
      <c r="A4" s="25" t="str">
        <f>IF(A3="","",IFERROR(VLOOKUP(TEXT(DATE(CONFIG!$B$1,$J$1,A3),"mm-dd"),LECTURAS!$A$2:$B$1000,2,FALSE),""))</f>
        <v/>
      </c>
      <c r="B4" s="26" t="str">
        <f>IF(B3="","",IFERROR(VLOOKUP(TEXT(DATE(CONFIG!$B$1,$J$1,B3),"mm-dd"),LECTURAS!$A$2:$B$1000,2,FALSE),""))</f>
        <v/>
      </c>
      <c r="C4" s="26" t="str">
        <f>IF(C3="","",IFERROR(VLOOKUP(TEXT(DATE(CONFIG!$B$1,$J$1,C3),"mm-dd"),LECTURAS!$A$2:$B$1000,2,FALSE),""))</f>
        <v> Ezequiel 30–32</v>
      </c>
      <c r="D4" s="26" t="str">
        <f>IF(D3="","",IFERROR(VLOOKUP(TEXT(DATE(CONFIG!$B$1,$J$1,D3),"mm-dd"),LECTURAS!$A$2:$B$1000,2,FALSE),""))</f>
        <v> Ezequiel 33–35</v>
      </c>
      <c r="E4" s="26" t="str">
        <f>IF(E3="","",IFERROR(VLOOKUP(TEXT(DATE(CONFIG!$B$1,$J$1,E3),"mm-dd"),LECTURAS!$A$2:$B$1000,2,FALSE),""))</f>
        <v> Ezequiel 36–40</v>
      </c>
      <c r="F4" s="26" t="str">
        <f>IF(F3="","",IFERROR(VLOOKUP(TEXT(DATE(CONFIG!$B$1,$J$1,F3),"mm-dd"),LECTURAS!$A$2:$B$1000,2,FALSE),""))</f>
        <v> Ezequiel 41–43</v>
      </c>
      <c r="G4" s="27" t="str">
        <f>IF(G3="","",IFERROR(VLOOKUP(TEXT(DATE(CONFIG!$B$1,$J$1,G3),"mm-dd"),LECTURAS!$A$2:$B$1000,2,FALSE),""))</f>
        <v> Ezequiel 44–46</v>
      </c>
      <c r="H4" s="6">
        <v>0.0</v>
      </c>
      <c r="J4" s="14">
        <f>DAY(EOMONTH($J$2,0))</f>
        <v>30</v>
      </c>
    </row>
    <row r="5" ht="15.75" customHeight="1">
      <c r="A5" s="21">
        <f t="shared" ref="A5:G5" si="2">IF((($H5*7 + COLUMN()-COLUMN($A$5)+1) - $J$3 + 1)&lt;1,"",IF((($H5*7 + COLUMN()-COLUMN($A$5)+1) - $J$3 + 1)&gt;$J$4,"",(($H5*7 + COLUMN()-COLUMN($A$5)+1) - $J$3 + 1)))</f>
        <v>6</v>
      </c>
      <c r="B5" s="22">
        <f t="shared" si="2"/>
        <v>7</v>
      </c>
      <c r="C5" s="22">
        <f t="shared" si="2"/>
        <v>8</v>
      </c>
      <c r="D5" s="22">
        <f t="shared" si="2"/>
        <v>9</v>
      </c>
      <c r="E5" s="22">
        <f t="shared" si="2"/>
        <v>10</v>
      </c>
      <c r="F5" s="22">
        <f t="shared" si="2"/>
        <v>11</v>
      </c>
      <c r="G5" s="23">
        <f t="shared" si="2"/>
        <v>12</v>
      </c>
      <c r="H5" s="6">
        <v>1.0</v>
      </c>
    </row>
    <row r="6" ht="54.0" customHeight="1">
      <c r="A6" s="25" t="str">
        <f>IF(A5="","",IFERROR(VLOOKUP(TEXT(DATE(CONFIG!$B$1,$J$1,A5),"mm-dd"),LECTURAS!$A$2:$B$1000,2,FALSE),""))</f>
        <v> Ezequiel 47–48; Daniel 1</v>
      </c>
      <c r="B6" s="26" t="str">
        <f>IF(B5="","",IFERROR(VLOOKUP(TEXT(DATE(CONFIG!$B$1,$J$1,B5),"mm-dd"),LECTURAS!$A$2:$B$1000,2,FALSE),""))</f>
        <v> Daniel 2–4</v>
      </c>
      <c r="C6" s="26" t="str">
        <f>IF(C5="","",IFERROR(VLOOKUP(TEXT(DATE(CONFIG!$B$1,$J$1,C5),"mm-dd"),LECTURAS!$A$2:$B$1000,2,FALSE),""))</f>
        <v> Daniel 5–7</v>
      </c>
      <c r="D6" s="26" t="str">
        <f>IF(D5="","",IFERROR(VLOOKUP(TEXT(DATE(CONFIG!$B$1,$J$1,D5),"mm-dd"),LECTURAS!$A$2:$B$1000,2,FALSE),""))</f>
        <v> Daniel 8–10</v>
      </c>
      <c r="E6" s="26" t="str">
        <f>IF(E5="","",IFERROR(VLOOKUP(TEXT(DATE(CONFIG!$B$1,$J$1,E5),"mm-dd"),LECTURAS!$A$2:$B$1000,2,FALSE),""))</f>
        <v> Daniel 11–12; Ester 1–3</v>
      </c>
      <c r="F6" s="26" t="str">
        <f>IF(F5="","",IFERROR(VLOOKUP(TEXT(DATE(CONFIG!$B$1,$J$1,F5),"mm-dd"),LECTURAS!$A$2:$B$1000,2,FALSE),""))</f>
        <v> Ester 4–6</v>
      </c>
      <c r="G6" s="27" t="str">
        <f>IF(G5="","",IFERROR(VLOOKUP(TEXT(DATE(CONFIG!$B$1,$J$1,G5),"mm-dd"),LECTURAS!$A$2:$B$1000,2,FALSE),""))</f>
        <v> Ester 7–10</v>
      </c>
      <c r="H6" s="6">
        <v>1.0</v>
      </c>
    </row>
    <row r="7" ht="15.75" customHeight="1">
      <c r="A7" s="21">
        <f t="shared" ref="A7:G7" si="3">IF((($H7*7 + COLUMN()-COLUMN($A$7)+1) - $J$3 + 1)&lt;1,"",IF((($H7*7 + COLUMN()-COLUMN($A$7)+1) - $J$3 + 1)&gt;$J$4,"",(($H7*7 + COLUMN()-COLUMN($A$7)+1) - $J$3 + 1)))</f>
        <v>13</v>
      </c>
      <c r="B7" s="22">
        <f t="shared" si="3"/>
        <v>14</v>
      </c>
      <c r="C7" s="22">
        <f t="shared" si="3"/>
        <v>15</v>
      </c>
      <c r="D7" s="22">
        <f t="shared" si="3"/>
        <v>16</v>
      </c>
      <c r="E7" s="22">
        <f t="shared" si="3"/>
        <v>17</v>
      </c>
      <c r="F7" s="22">
        <f t="shared" si="3"/>
        <v>18</v>
      </c>
      <c r="G7" s="23">
        <f t="shared" si="3"/>
        <v>19</v>
      </c>
      <c r="H7" s="6">
        <v>2.0</v>
      </c>
    </row>
    <row r="8" ht="54.0" customHeight="1">
      <c r="A8" s="25" t="str">
        <f>IF(A7="","",IFERROR(VLOOKUP(TEXT(DATE(CONFIG!$B$1,$J$1,A7),"mm-dd"),LECTURAS!$A$2:$B$1000,2,FALSE),""))</f>
        <v> Esdras 1–3</v>
      </c>
      <c r="B8" s="26" t="str">
        <f>IF(B7="","",IFERROR(VLOOKUP(TEXT(DATE(CONFIG!$B$1,$J$1,B7),"mm-dd"),LECTURAS!$A$2:$B$1000,2,FALSE),""))</f>
        <v> Esdras 4–6</v>
      </c>
      <c r="C8" s="26" t="str">
        <f>IF(C7="","",IFERROR(VLOOKUP(TEXT(DATE(CONFIG!$B$1,$J$1,C7),"mm-dd"),LECTURAS!$A$2:$B$1000,2,FALSE),""))</f>
        <v> Esdras 7–9</v>
      </c>
      <c r="D8" s="26" t="str">
        <f>IF(D7="","",IFERROR(VLOOKUP(TEXT(DATE(CONFIG!$B$1,$J$1,D7),"mm-dd"),LECTURAS!$A$2:$B$1000,2,FALSE),""))</f>
        <v> Esdras 10; Nehemías 1–2</v>
      </c>
      <c r="E8" s="26" t="str">
        <f>IF(E7="","",IFERROR(VLOOKUP(TEXT(DATE(CONFIG!$B$1,$J$1,E7),"mm-dd"),LECTURAS!$A$2:$B$1000,2,FALSE),""))</f>
        <v> Nehemías 3–7</v>
      </c>
      <c r="F8" s="26" t="str">
        <f>IF(F7="","",IFERROR(VLOOKUP(TEXT(DATE(CONFIG!$B$1,$J$1,F7),"mm-dd"),LECTURAS!$A$2:$B$1000,2,FALSE),""))</f>
        <v> Nehemías 8–10</v>
      </c>
      <c r="G8" s="27" t="str">
        <f>IF(G7="","",IFERROR(VLOOKUP(TEXT(DATE(CONFIG!$B$1,$J$1,G7),"mm-dd"),LECTURAS!$A$2:$B$1000,2,FALSE),""))</f>
        <v> Nehemías 11–13</v>
      </c>
      <c r="H8" s="6">
        <v>2.0</v>
      </c>
    </row>
    <row r="9" ht="15.75" customHeight="1">
      <c r="A9" s="21">
        <f t="shared" ref="A9:G9" si="4">IF((($H9*7 + COLUMN()-COLUMN($A$9)+1) - $J$3 + 1)&lt;1,"",IF((($H9*7 + COLUMN()-COLUMN($A$9)+1) - $J$3 + 1)&gt;$J$4,"",(($H9*7 + COLUMN()-COLUMN($A$9)+1) - $J$3 + 1)))</f>
        <v>20</v>
      </c>
      <c r="B9" s="22">
        <f t="shared" si="4"/>
        <v>21</v>
      </c>
      <c r="C9" s="22">
        <f t="shared" si="4"/>
        <v>22</v>
      </c>
      <c r="D9" s="22">
        <f t="shared" si="4"/>
        <v>23</v>
      </c>
      <c r="E9" s="22">
        <f t="shared" si="4"/>
        <v>24</v>
      </c>
      <c r="F9" s="22">
        <f t="shared" si="4"/>
        <v>25</v>
      </c>
      <c r="G9" s="23">
        <f t="shared" si="4"/>
        <v>26</v>
      </c>
      <c r="H9" s="6">
        <v>3.0</v>
      </c>
    </row>
    <row r="10" ht="54.0" customHeight="1">
      <c r="A10" s="25" t="str">
        <f>IF(A9="","",IFERROR(VLOOKUP(TEXT(DATE(CONFIG!$B$1,$J$1,A9),"mm-dd"),LECTURAS!$A$2:$B$1000,2,FALSE),""))</f>
        <v> Cantares 1–3</v>
      </c>
      <c r="B10" s="26" t="str">
        <f>IF(B9="","",IFERROR(VLOOKUP(TEXT(DATE(CONFIG!$B$1,$J$1,B9),"mm-dd"),LECTURAS!$A$2:$B$1000,2,FALSE),""))</f>
        <v> Cantares 4–6</v>
      </c>
      <c r="C10" s="26" t="str">
        <f>IF(C9="","",IFERROR(VLOOKUP(TEXT(DATE(CONFIG!$B$1,$J$1,C9),"mm-dd"),LECTURAS!$A$2:$B$1000,2,FALSE),""))</f>
        <v> Cantares 7–8</v>
      </c>
      <c r="D10" s="26" t="str">
        <f>IF(D9="","",IFERROR(VLOOKUP(TEXT(DATE(CONFIG!$B$1,$J$1,D9),"mm-dd"),LECTURAS!$A$2:$B$1000,2,FALSE),""))</f>
        <v> Eclesiastés 1–3</v>
      </c>
      <c r="E10" s="26" t="str">
        <f>IF(E9="","",IFERROR(VLOOKUP(TEXT(DATE(CONFIG!$B$1,$J$1,E9),"mm-dd"),LECTURAS!$A$2:$B$1000,2,FALSE),""))</f>
        <v> Eclesiastés 4–8</v>
      </c>
      <c r="F10" s="26" t="str">
        <f>IF(F9="","",IFERROR(VLOOKUP(TEXT(DATE(CONFIG!$B$1,$J$1,F9),"mm-dd"),LECTURAS!$A$2:$B$1000,2,FALSE),""))</f>
        <v> Eclesiastés 9–12</v>
      </c>
      <c r="G10" s="27" t="str">
        <f>IF(G9="","",IFERROR(VLOOKUP(TEXT(DATE(CONFIG!$B$1,$J$1,G9),"mm-dd"),LECTURAS!$A$2:$B$1000,2,FALSE),""))</f>
        <v> Marcos 1; Job 1–2</v>
      </c>
      <c r="H10" s="6">
        <v>3.0</v>
      </c>
    </row>
    <row r="11" ht="15.75" customHeight="1">
      <c r="A11" s="21">
        <f t="shared" ref="A11:G11" si="5">IF((($H11*7 + COLUMN()-COLUMN($A$11)+1) - $J$3 + 1)&lt;1,"",IF((($H11*7 + COLUMN()-COLUMN($A$11)+1) - $J$3 + 1)&gt;$J$4,"",(($H11*7 + COLUMN()-COLUMN($A$11)+1) - $J$3 + 1)))</f>
        <v>27</v>
      </c>
      <c r="B11" s="22">
        <f t="shared" si="5"/>
        <v>28</v>
      </c>
      <c r="C11" s="22">
        <f t="shared" si="5"/>
        <v>29</v>
      </c>
      <c r="D11" s="22">
        <f t="shared" si="5"/>
        <v>30</v>
      </c>
      <c r="E11" s="22" t="str">
        <f t="shared" si="5"/>
        <v/>
      </c>
      <c r="F11" s="22" t="str">
        <f t="shared" si="5"/>
        <v/>
      </c>
      <c r="G11" s="23" t="str">
        <f t="shared" si="5"/>
        <v/>
      </c>
      <c r="H11" s="6">
        <v>4.0</v>
      </c>
    </row>
    <row r="12" ht="54.0" customHeight="1">
      <c r="A12" s="25" t="str">
        <f>IF(A11="","",IFERROR(VLOOKUP(TEXT(DATE(CONFIG!$B$1,$J$1,A11),"mm-dd"),LECTURAS!$A$2:$B$1000,2,FALSE),""))</f>
        <v> Marcos 2; Job 3–4</v>
      </c>
      <c r="B12" s="26" t="str">
        <f>IF(B11="","",IFERROR(VLOOKUP(TEXT(DATE(CONFIG!$B$1,$J$1,B11),"mm-dd"),LECTURAS!$A$2:$B$1000,2,FALSE),""))</f>
        <v> Marcos 3; Job 5–6</v>
      </c>
      <c r="C12" s="26" t="str">
        <f>IF(C11="","",IFERROR(VLOOKUP(TEXT(DATE(CONFIG!$B$1,$J$1,C11),"mm-dd"),LECTURAS!$A$2:$B$1000,2,FALSE),""))</f>
        <v> Marcos 4; Job 7–9</v>
      </c>
      <c r="D12" s="26" t="str">
        <f>IF(D11="","",IFERROR(VLOOKUP(TEXT(DATE(CONFIG!$B$1,$J$1,D11),"mm-dd"),LECTURAS!$A$2:$B$1000,2,FALSE),""))</f>
        <v> Marcos 5–6; Job 10–13</v>
      </c>
      <c r="E12" s="26" t="str">
        <f>IF(E11="","",IFERROR(VLOOKUP(TEXT(DATE(CONFIG!$B$1,$J$1,E11),"mm-dd"),LECTURAS!$A$2:$B$1000,2,FALSE),""))</f>
        <v/>
      </c>
      <c r="F12" s="26" t="str">
        <f>IF(F11="","",IFERROR(VLOOKUP(TEXT(DATE(CONFIG!$B$1,$J$1,F11),"mm-dd"),LECTURAS!$A$2:$B$1000,2,FALSE),""))</f>
        <v/>
      </c>
      <c r="G12" s="27" t="str">
        <f>IF(G11="","",IFERROR(VLOOKUP(TEXT(DATE(CONFIG!$B$1,$J$1,G11),"mm-dd"),LECTURAS!$A$2:$B$1000,2,FALSE),""))</f>
        <v/>
      </c>
      <c r="H12" s="6">
        <v>4.0</v>
      </c>
    </row>
    <row r="13" ht="15.75" customHeight="1">
      <c r="A13" s="21" t="str">
        <f t="shared" ref="A13:G13" si="6">IF((($H13*7 + COLUMN()-COLUMN($A$13)+1) - $J$3 + 1)&lt;1,"",IF((($H13*7 + COLUMN()-COLUMN($A$13)+1) - $J$3 + 1)&gt;$J$4,"",(($H13*7 + COLUMN()-COLUMN($A$13)+1) - $J$3 + 1)))</f>
        <v/>
      </c>
      <c r="B13" s="22" t="str">
        <f t="shared" si="6"/>
        <v/>
      </c>
      <c r="C13" s="22" t="str">
        <f t="shared" si="6"/>
        <v/>
      </c>
      <c r="D13" s="22" t="str">
        <f t="shared" si="6"/>
        <v/>
      </c>
      <c r="E13" s="22" t="str">
        <f t="shared" si="6"/>
        <v/>
      </c>
      <c r="F13" s="22" t="str">
        <f t="shared" si="6"/>
        <v/>
      </c>
      <c r="G13" s="23" t="str">
        <f t="shared" si="6"/>
        <v/>
      </c>
      <c r="H13" s="6">
        <v>5.0</v>
      </c>
    </row>
    <row r="14" ht="54.0" customHeight="1">
      <c r="A14" s="28" t="str">
        <f>IF(A13="","",IFERROR(VLOOKUP(TEXT(DATE(CONFIG!$B$1,$J$1,A13),"mm-dd"),LECTURAS!$A$2:$B$1000,2,FALSE),""))</f>
        <v/>
      </c>
      <c r="B14" s="29" t="str">
        <f>IF(B13="","",IFERROR(VLOOKUP(TEXT(DATE(CONFIG!$B$1,$J$1,B13),"mm-dd"),LECTURAS!$A$2:$B$1000,2,FALSE),""))</f>
        <v/>
      </c>
      <c r="C14" s="29" t="str">
        <f>IF(C13="","",IFERROR(VLOOKUP(TEXT(DATE(CONFIG!$B$1,$J$1,C13),"mm-dd"),LECTURAS!$A$2:$B$1000,2,FALSE),""))</f>
        <v/>
      </c>
      <c r="D14" s="29" t="str">
        <f>IF(D13="","",IFERROR(VLOOKUP(TEXT(DATE(CONFIG!$B$1,$J$1,D13),"mm-dd"),LECTURAS!$A$2:$B$1000,2,FALSE),""))</f>
        <v/>
      </c>
      <c r="E14" s="29" t="str">
        <f>IF(E13="","",IFERROR(VLOOKUP(TEXT(DATE(CONFIG!$B$1,$J$1,E13),"mm-dd"),LECTURAS!$A$2:$B$1000,2,FALSE),""))</f>
        <v/>
      </c>
      <c r="F14" s="29" t="str">
        <f>IF(F13="","",IFERROR(VLOOKUP(TEXT(DATE(CONFIG!$B$1,$J$1,F13),"mm-dd"),LECTURAS!$A$2:$B$1000,2,FALSE),""))</f>
        <v/>
      </c>
      <c r="G14" s="30" t="str">
        <f>IF(G13="","",IFERROR(VLOOKUP(TEXT(DATE(CONFIG!$B$1,$J$1,G13),"mm-dd"),LECTURAS!$A$2:$B$1000,2,FALSE),""))</f>
        <v/>
      </c>
      <c r="H14" s="6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18.0"/>
    <col customWidth="1" min="8" max="10" width="3.0"/>
    <col customWidth="1" min="11" max="26" width="9.14"/>
  </cols>
  <sheetData>
    <row r="1" ht="27.75" customHeight="1">
      <c r="A1" s="11" t="s">
        <v>756</v>
      </c>
      <c r="B1" s="12"/>
      <c r="C1" s="12"/>
      <c r="D1" s="12"/>
      <c r="E1" s="12"/>
      <c r="F1" s="12"/>
      <c r="G1" s="13"/>
      <c r="J1" s="14">
        <v>10.0</v>
      </c>
    </row>
    <row r="2" ht="19.5" customHeight="1">
      <c r="A2" s="16" t="s">
        <v>741</v>
      </c>
      <c r="B2" s="17" t="s">
        <v>742</v>
      </c>
      <c r="C2" s="17" t="s">
        <v>743</v>
      </c>
      <c r="D2" s="17" t="s">
        <v>744</v>
      </c>
      <c r="E2" s="17" t="s">
        <v>745</v>
      </c>
      <c r="F2" s="17" t="s">
        <v>746</v>
      </c>
      <c r="G2" s="18" t="s">
        <v>747</v>
      </c>
      <c r="J2" s="19">
        <f>DATE(CONFIG!$B$1,$J$1,1)</f>
        <v>46296</v>
      </c>
    </row>
    <row r="3" ht="15.75" customHeight="1">
      <c r="A3" s="21" t="str">
        <f t="shared" ref="A3:G3" si="1">IF((($H3*7 + COLUMN()-COLUMN($A$3)+1) - $J$3 + 1)&lt;1,"",IF((($H3*7 + COLUMN()-COLUMN($A$3)+1) - $J$3 + 1)&gt;$J$4,"",(($H3*7 + COLUMN()-COLUMN($A$3)+1) - $J$3 + 1)))</f>
        <v/>
      </c>
      <c r="B3" s="22" t="str">
        <f t="shared" si="1"/>
        <v/>
      </c>
      <c r="C3" s="22" t="str">
        <f t="shared" si="1"/>
        <v/>
      </c>
      <c r="D3" s="22" t="str">
        <f t="shared" si="1"/>
        <v/>
      </c>
      <c r="E3" s="22">
        <f t="shared" si="1"/>
        <v>1</v>
      </c>
      <c r="F3" s="22">
        <f t="shared" si="1"/>
        <v>2</v>
      </c>
      <c r="G3" s="23">
        <f t="shared" si="1"/>
        <v>3</v>
      </c>
      <c r="H3" s="6">
        <v>0.0</v>
      </c>
      <c r="J3" s="14">
        <f>WEEKDAY($J$2,1)</f>
        <v>5</v>
      </c>
    </row>
    <row r="4" ht="54.0" customHeight="1">
      <c r="A4" s="25" t="str">
        <f>IF(A3="","",IFERROR(VLOOKUP(TEXT(DATE(CONFIG!$B$1,$J$1,A3),"mm-dd"),LECTURAS!$A$2:$B$1000,2,FALSE),""))</f>
        <v/>
      </c>
      <c r="B4" s="26" t="str">
        <f>IF(B3="","",IFERROR(VLOOKUP(TEXT(DATE(CONFIG!$B$1,$J$1,B3),"mm-dd"),LECTURAS!$A$2:$B$1000,2,FALSE),""))</f>
        <v/>
      </c>
      <c r="C4" s="26" t="str">
        <f>IF(C3="","",IFERROR(VLOOKUP(TEXT(DATE(CONFIG!$B$1,$J$1,C3),"mm-dd"),LECTURAS!$A$2:$B$1000,2,FALSE),""))</f>
        <v/>
      </c>
      <c r="D4" s="26" t="str">
        <f>IF(D3="","",IFERROR(VLOOKUP(TEXT(DATE(CONFIG!$B$1,$J$1,D3),"mm-dd"),LECTURAS!$A$2:$B$1000,2,FALSE),""))</f>
        <v/>
      </c>
      <c r="E4" s="26" t="str">
        <f>IF(E3="","",IFERROR(VLOOKUP(TEXT(DATE(CONFIG!$B$1,$J$1,E3),"mm-dd"),LECTURAS!$A$2:$B$1000,2,FALSE),""))</f>
        <v> Marcos 7; Job 14–16</v>
      </c>
      <c r="F4" s="26" t="str">
        <f>IF(F3="","",IFERROR(VLOOKUP(TEXT(DATE(CONFIG!$B$1,$J$1,F3),"mm-dd"),LECTURAS!$A$2:$B$1000,2,FALSE),""))</f>
        <v> Marcos 8; Job 17–18</v>
      </c>
      <c r="G4" s="27" t="str">
        <f>IF(G3="","",IFERROR(VLOOKUP(TEXT(DATE(CONFIG!$B$1,$J$1,G3),"mm-dd"),LECTURAS!$A$2:$B$1000,2,FALSE),""))</f>
        <v> Marcos 9; Job 19–20</v>
      </c>
      <c r="H4" s="6">
        <v>0.0</v>
      </c>
      <c r="J4" s="14">
        <f>DAY(EOMONTH($J$2,0))</f>
        <v>31</v>
      </c>
    </row>
    <row r="5" ht="15.75" customHeight="1">
      <c r="A5" s="21">
        <f t="shared" ref="A5:G5" si="2">IF((($H5*7 + COLUMN()-COLUMN($A$5)+1) - $J$3 + 1)&lt;1,"",IF((($H5*7 + COLUMN()-COLUMN($A$5)+1) - $J$3 + 1)&gt;$J$4,"",(($H5*7 + COLUMN()-COLUMN($A$5)+1) - $J$3 + 1)))</f>
        <v>4</v>
      </c>
      <c r="B5" s="22">
        <f t="shared" si="2"/>
        <v>5</v>
      </c>
      <c r="C5" s="22">
        <f t="shared" si="2"/>
        <v>6</v>
      </c>
      <c r="D5" s="22">
        <f t="shared" si="2"/>
        <v>7</v>
      </c>
      <c r="E5" s="22">
        <f t="shared" si="2"/>
        <v>8</v>
      </c>
      <c r="F5" s="22">
        <f t="shared" si="2"/>
        <v>9</v>
      </c>
      <c r="G5" s="23">
        <f t="shared" si="2"/>
        <v>10</v>
      </c>
      <c r="H5" s="6">
        <v>1.0</v>
      </c>
    </row>
    <row r="6" ht="54.0" customHeight="1">
      <c r="A6" s="25" t="str">
        <f>IF(A5="","",IFERROR(VLOOKUP(TEXT(DATE(CONFIG!$B$1,$J$1,A5),"mm-dd"),LECTURAS!$A$2:$B$1000,2,FALSE),""))</f>
        <v> Marcos 10; Job 21–22</v>
      </c>
      <c r="B6" s="26" t="str">
        <f>IF(B5="","",IFERROR(VLOOKUP(TEXT(DATE(CONFIG!$B$1,$J$1,B5),"mm-dd"),LECTURAS!$A$2:$B$1000,2,FALSE),""))</f>
        <v> Marcos 11; Job 23–24</v>
      </c>
      <c r="C6" s="26" t="str">
        <f>IF(C5="","",IFERROR(VLOOKUP(TEXT(DATE(CONFIG!$B$1,$J$1,C5),"mm-dd"),LECTURAS!$A$2:$B$1000,2,FALSE),""))</f>
        <v> Marcos 12; Job 25–26</v>
      </c>
      <c r="D6" s="26" t="str">
        <f>IF(D5="","",IFERROR(VLOOKUP(TEXT(DATE(CONFIG!$B$1,$J$1,D5),"mm-dd"),LECTURAS!$A$2:$B$1000,2,FALSE),""))</f>
        <v> Marcos 13; Job 27–28</v>
      </c>
      <c r="E6" s="26" t="str">
        <f>IF(E5="","",IFERROR(VLOOKUP(TEXT(DATE(CONFIG!$B$1,$J$1,E5),"mm-dd"),LECTURAS!$A$2:$B$1000,2,FALSE),""))</f>
        <v> Marcos 14; Job 29–30</v>
      </c>
      <c r="F6" s="26" t="str">
        <f>IF(F5="","",IFERROR(VLOOKUP(TEXT(DATE(CONFIG!$B$1,$J$1,F5),"mm-dd"),LECTURAS!$A$2:$B$1000,2,FALSE),""))</f>
        <v> Marcos 15; Job 31–32</v>
      </c>
      <c r="G6" s="27" t="str">
        <f>IF(G5="","",IFERROR(VLOOKUP(TEXT(DATE(CONFIG!$B$1,$J$1,G5),"mm-dd"),LECTURAS!$A$2:$B$1000,2,FALSE),""))</f>
        <v> Marcos 16; Job 33–34</v>
      </c>
      <c r="H6" s="6">
        <v>1.0</v>
      </c>
    </row>
    <row r="7" ht="15.75" customHeight="1">
      <c r="A7" s="21">
        <f t="shared" ref="A7:G7" si="3">IF((($H7*7 + COLUMN()-COLUMN($A$7)+1) - $J$3 + 1)&lt;1,"",IF((($H7*7 + COLUMN()-COLUMN($A$7)+1) - $J$3 + 1)&gt;$J$4,"",(($H7*7 + COLUMN()-COLUMN($A$7)+1) - $J$3 + 1)))</f>
        <v>11</v>
      </c>
      <c r="B7" s="22">
        <f t="shared" si="3"/>
        <v>12</v>
      </c>
      <c r="C7" s="22">
        <f t="shared" si="3"/>
        <v>13</v>
      </c>
      <c r="D7" s="22">
        <f t="shared" si="3"/>
        <v>14</v>
      </c>
      <c r="E7" s="22">
        <f t="shared" si="3"/>
        <v>15</v>
      </c>
      <c r="F7" s="22">
        <f t="shared" si="3"/>
        <v>16</v>
      </c>
      <c r="G7" s="23">
        <f t="shared" si="3"/>
        <v>17</v>
      </c>
      <c r="H7" s="6">
        <v>2.0</v>
      </c>
    </row>
    <row r="8" ht="54.0" customHeight="1">
      <c r="A8" s="25" t="str">
        <f>IF(A7="","",IFERROR(VLOOKUP(TEXT(DATE(CONFIG!$B$1,$J$1,A7),"mm-dd"),LECTURAS!$A$2:$B$1000,2,FALSE),""))</f>
        <v> Job 35–37</v>
      </c>
      <c r="B8" s="26" t="str">
        <f>IF(B7="","",IFERROR(VLOOKUP(TEXT(DATE(CONFIG!$B$1,$J$1,B7),"mm-dd"),LECTURAS!$A$2:$B$1000,2,FALSE),""))</f>
        <v> Job 38–40</v>
      </c>
      <c r="C8" s="26" t="str">
        <f>IF(C7="","",IFERROR(VLOOKUP(TEXT(DATE(CONFIG!$B$1,$J$1,C7),"mm-dd"),LECTURAS!$A$2:$B$1000,2,FALSE),""))</f>
        <v> Job 41–42; 1 Corintios 1–3</v>
      </c>
      <c r="D8" s="26" t="str">
        <f>IF(D7="","",IFERROR(VLOOKUP(TEXT(DATE(CONFIG!$B$1,$J$1,D7),"mm-dd"),LECTURAS!$A$2:$B$1000,2,FALSE),""))</f>
        <v> 1 Corintios 4–8</v>
      </c>
      <c r="E8" s="26" t="str">
        <f>IF(E7="","",IFERROR(VLOOKUP(TEXT(DATE(CONFIG!$B$1,$J$1,E7),"mm-dd"),LECTURAS!$A$2:$B$1000,2,FALSE),""))</f>
        <v> 1 Corintios 9–11</v>
      </c>
      <c r="F8" s="26" t="str">
        <f>IF(F7="","",IFERROR(VLOOKUP(TEXT(DATE(CONFIG!$B$1,$J$1,F7),"mm-dd"),LECTURAS!$A$2:$B$1000,2,FALSE),""))</f>
        <v> 1 Corintios 12–14</v>
      </c>
      <c r="G8" s="27" t="str">
        <f>IF(G7="","",IFERROR(VLOOKUP(TEXT(DATE(CONFIG!$B$1,$J$1,G7),"mm-dd"),LECTURAS!$A$2:$B$1000,2,FALSE),""))</f>
        <v> 1 Corintios 15–16; Salmo 48</v>
      </c>
      <c r="H8" s="6">
        <v>2.0</v>
      </c>
    </row>
    <row r="9" ht="15.75" customHeight="1">
      <c r="A9" s="21">
        <f t="shared" ref="A9:G9" si="4">IF((($H9*7 + COLUMN()-COLUMN($A$9)+1) - $J$3 + 1)&lt;1,"",IF((($H9*7 + COLUMN()-COLUMN($A$9)+1) - $J$3 + 1)&gt;$J$4,"",(($H9*7 + COLUMN()-COLUMN($A$9)+1) - $J$3 + 1)))</f>
        <v>18</v>
      </c>
      <c r="B9" s="22">
        <f t="shared" si="4"/>
        <v>19</v>
      </c>
      <c r="C9" s="22">
        <f t="shared" si="4"/>
        <v>20</v>
      </c>
      <c r="D9" s="22">
        <f t="shared" si="4"/>
        <v>21</v>
      </c>
      <c r="E9" s="22">
        <f t="shared" si="4"/>
        <v>22</v>
      </c>
      <c r="F9" s="22">
        <f t="shared" si="4"/>
        <v>23</v>
      </c>
      <c r="G9" s="23">
        <f t="shared" si="4"/>
        <v>24</v>
      </c>
      <c r="H9" s="6">
        <v>3.0</v>
      </c>
    </row>
    <row r="10" ht="54.0" customHeight="1">
      <c r="A10" s="25" t="str">
        <f>IF(A9="","",IFERROR(VLOOKUP(TEXT(DATE(CONFIG!$B$1,$J$1,A9),"mm-dd"),LECTURAS!$A$2:$B$1000,2,FALSE),""))</f>
        <v> 2 Corintios 1; Salmo 49–50</v>
      </c>
      <c r="B10" s="26" t="str">
        <f>IF(B9="","",IFERROR(VLOOKUP(TEXT(DATE(CONFIG!$B$1,$J$1,B9),"mm-dd"),LECTURAS!$A$2:$B$1000,2,FALSE),""))</f>
        <v> 2 Corintios 2; Salmo 51–52</v>
      </c>
      <c r="C10" s="26" t="str">
        <f>IF(C9="","",IFERROR(VLOOKUP(TEXT(DATE(CONFIG!$B$1,$J$1,C9),"mm-dd"),LECTURAS!$A$2:$B$1000,2,FALSE),""))</f>
        <v> 2 Corintios 3; Salmo 53–54</v>
      </c>
      <c r="D10" s="26" t="str">
        <f>IF(D9="","",IFERROR(VLOOKUP(TEXT(DATE(CONFIG!$B$1,$J$1,D9),"mm-dd"),LECTURAS!$A$2:$B$1000,2,FALSE),""))</f>
        <v> 2 Corintios 4; Salmo 55–58</v>
      </c>
      <c r="E10" s="26" t="str">
        <f>IF(E9="","",IFERROR(VLOOKUP(TEXT(DATE(CONFIG!$B$1,$J$1,E9),"mm-dd"),LECTURAS!$A$2:$B$1000,2,FALSE),""))</f>
        <v> 2 Corintios 5; Salmo 59–60</v>
      </c>
      <c r="F10" s="26" t="str">
        <f>IF(F9="","",IFERROR(VLOOKUP(TEXT(DATE(CONFIG!$B$1,$J$1,F9),"mm-dd"),LECTURAS!$A$2:$B$1000,2,FALSE),""))</f>
        <v> 2 Corintios 6; Salmo 61–62</v>
      </c>
      <c r="G10" s="27" t="str">
        <f>IF(G9="","",IFERROR(VLOOKUP(TEXT(DATE(CONFIG!$B$1,$J$1,G9),"mm-dd"),LECTURAS!$A$2:$B$1000,2,FALSE),""))</f>
        <v> 2 Corintios 7; Salmo 63–64</v>
      </c>
      <c r="H10" s="6">
        <v>3.0</v>
      </c>
    </row>
    <row r="11" ht="15.75" customHeight="1">
      <c r="A11" s="21">
        <f t="shared" ref="A11:G11" si="5">IF((($H11*7 + COLUMN()-COLUMN($A$11)+1) - $J$3 + 1)&lt;1,"",IF((($H11*7 + COLUMN()-COLUMN($A$11)+1) - $J$3 + 1)&gt;$J$4,"",(($H11*7 + COLUMN()-COLUMN($A$11)+1) - $J$3 + 1)))</f>
        <v>25</v>
      </c>
      <c r="B11" s="22">
        <f t="shared" si="5"/>
        <v>26</v>
      </c>
      <c r="C11" s="22">
        <f t="shared" si="5"/>
        <v>27</v>
      </c>
      <c r="D11" s="22">
        <f t="shared" si="5"/>
        <v>28</v>
      </c>
      <c r="E11" s="22">
        <f t="shared" si="5"/>
        <v>29</v>
      </c>
      <c r="F11" s="22">
        <f t="shared" si="5"/>
        <v>30</v>
      </c>
      <c r="G11" s="23">
        <f t="shared" si="5"/>
        <v>31</v>
      </c>
      <c r="H11" s="6">
        <v>4.0</v>
      </c>
    </row>
    <row r="12" ht="54.0" customHeight="1">
      <c r="A12" s="25" t="str">
        <f>IF(A11="","",IFERROR(VLOOKUP(TEXT(DATE(CONFIG!$B$1,$J$1,A11),"mm-dd"),LECTURAS!$A$2:$B$1000,2,FALSE),""))</f>
        <v> 2 Corintios 8; Salmo 65–66</v>
      </c>
      <c r="B12" s="26" t="str">
        <f>IF(B11="","",IFERROR(VLOOKUP(TEXT(DATE(CONFIG!$B$1,$J$1,B11),"mm-dd"),LECTURAS!$A$2:$B$1000,2,FALSE),""))</f>
        <v> 2 Corintios 9; Salmo 67–68</v>
      </c>
      <c r="C12" s="26" t="str">
        <f>IF(C11="","",IFERROR(VLOOKUP(TEXT(DATE(CONFIG!$B$1,$J$1,C11),"mm-dd"),LECTURAS!$A$2:$B$1000,2,FALSE),""))</f>
        <v> 2 Corintios 10; Salmo 69–70</v>
      </c>
      <c r="D12" s="26" t="str">
        <f>IF(D11="","",IFERROR(VLOOKUP(TEXT(DATE(CONFIG!$B$1,$J$1,D11),"mm-dd"),LECTURAS!$A$2:$B$1000,2,FALSE),""))</f>
        <v> 2 Corintios 11; Salmo 71–72</v>
      </c>
      <c r="E12" s="26" t="str">
        <f>IF(E11="","",IFERROR(VLOOKUP(TEXT(DATE(CONFIG!$B$1,$J$1,E11),"mm-dd"),LECTURAS!$A$2:$B$1000,2,FALSE),""))</f>
        <v> 2 Corintios 12; Salmo 73–74</v>
      </c>
      <c r="F12" s="26" t="str">
        <f>IF(F11="","",IFERROR(VLOOKUP(TEXT(DATE(CONFIG!$B$1,$J$1,F11),"mm-dd"),LECTURAS!$A$2:$B$1000,2,FALSE),""))</f>
        <v> 2 Corintios 13; Salmo 75–76</v>
      </c>
      <c r="G12" s="27" t="str">
        <f>IF(G11="","",IFERROR(VLOOKUP(TEXT(DATE(CONFIG!$B$1,$J$1,G11),"mm-dd"),LECTURAS!$A$2:$B$1000,2,FALSE),""))</f>
        <v> 1 Pedro 1; Salmo 77–78</v>
      </c>
      <c r="H12" s="6">
        <v>4.0</v>
      </c>
    </row>
    <row r="13" ht="15.75" customHeight="1">
      <c r="A13" s="21" t="str">
        <f t="shared" ref="A13:G13" si="6">IF((($H13*7 + COLUMN()-COLUMN($A$13)+1) - $J$3 + 1)&lt;1,"",IF((($H13*7 + COLUMN()-COLUMN($A$13)+1) - $J$3 + 1)&gt;$J$4,"",(($H13*7 + COLUMN()-COLUMN($A$13)+1) - $J$3 + 1)))</f>
        <v/>
      </c>
      <c r="B13" s="22" t="str">
        <f t="shared" si="6"/>
        <v/>
      </c>
      <c r="C13" s="22" t="str">
        <f t="shared" si="6"/>
        <v/>
      </c>
      <c r="D13" s="22" t="str">
        <f t="shared" si="6"/>
        <v/>
      </c>
      <c r="E13" s="22" t="str">
        <f t="shared" si="6"/>
        <v/>
      </c>
      <c r="F13" s="22" t="str">
        <f t="shared" si="6"/>
        <v/>
      </c>
      <c r="G13" s="23" t="str">
        <f t="shared" si="6"/>
        <v/>
      </c>
      <c r="H13" s="6">
        <v>5.0</v>
      </c>
    </row>
    <row r="14" ht="54.0" customHeight="1">
      <c r="A14" s="28" t="str">
        <f>IF(A13="","",IFERROR(VLOOKUP(TEXT(DATE(CONFIG!$B$1,$J$1,A13),"mm-dd"),LECTURAS!$A$2:$B$1000,2,FALSE),""))</f>
        <v/>
      </c>
      <c r="B14" s="29" t="str">
        <f>IF(B13="","",IFERROR(VLOOKUP(TEXT(DATE(CONFIG!$B$1,$J$1,B13),"mm-dd"),LECTURAS!$A$2:$B$1000,2,FALSE),""))</f>
        <v/>
      </c>
      <c r="C14" s="29" t="str">
        <f>IF(C13="","",IFERROR(VLOOKUP(TEXT(DATE(CONFIG!$B$1,$J$1,C13),"mm-dd"),LECTURAS!$A$2:$B$1000,2,FALSE),""))</f>
        <v/>
      </c>
      <c r="D14" s="29" t="str">
        <f>IF(D13="","",IFERROR(VLOOKUP(TEXT(DATE(CONFIG!$B$1,$J$1,D13),"mm-dd"),LECTURAS!$A$2:$B$1000,2,FALSE),""))</f>
        <v/>
      </c>
      <c r="E14" s="29" t="str">
        <f>IF(E13="","",IFERROR(VLOOKUP(TEXT(DATE(CONFIG!$B$1,$J$1,E13),"mm-dd"),LECTURAS!$A$2:$B$1000,2,FALSE),""))</f>
        <v/>
      </c>
      <c r="F14" s="29" t="str">
        <f>IF(F13="","",IFERROR(VLOOKUP(TEXT(DATE(CONFIG!$B$1,$J$1,F13),"mm-dd"),LECTURAS!$A$2:$B$1000,2,FALSE),""))</f>
        <v/>
      </c>
      <c r="G14" s="30" t="str">
        <f>IF(G13="","",IFERROR(VLOOKUP(TEXT(DATE(CONFIG!$B$1,$J$1,G13),"mm-dd"),LECTURAS!$A$2:$B$1000,2,FALSE),""))</f>
        <v/>
      </c>
      <c r="H14" s="6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18.0"/>
    <col customWidth="1" min="8" max="10" width="3.0"/>
    <col customWidth="1" min="11" max="26" width="9.14"/>
  </cols>
  <sheetData>
    <row r="1" ht="27.75" customHeight="1">
      <c r="A1" s="11" t="s">
        <v>757</v>
      </c>
      <c r="B1" s="12"/>
      <c r="C1" s="12"/>
      <c r="D1" s="12"/>
      <c r="E1" s="12"/>
      <c r="F1" s="12"/>
      <c r="G1" s="13"/>
      <c r="J1" s="14">
        <v>11.0</v>
      </c>
    </row>
    <row r="2" ht="19.5" customHeight="1">
      <c r="A2" s="16" t="s">
        <v>741</v>
      </c>
      <c r="B2" s="17" t="s">
        <v>742</v>
      </c>
      <c r="C2" s="17" t="s">
        <v>743</v>
      </c>
      <c r="D2" s="17" t="s">
        <v>744</v>
      </c>
      <c r="E2" s="17" t="s">
        <v>745</v>
      </c>
      <c r="F2" s="17" t="s">
        <v>746</v>
      </c>
      <c r="G2" s="18" t="s">
        <v>747</v>
      </c>
      <c r="J2" s="19">
        <f>DATE(CONFIG!$B$1,$J$1,1)</f>
        <v>46327</v>
      </c>
    </row>
    <row r="3" ht="15.75" customHeight="1">
      <c r="A3" s="21">
        <f t="shared" ref="A3:G3" si="1">IF((($H3*7 + COLUMN()-COLUMN($A$3)+1) - $J$3 + 1)&lt;1,"",IF((($H3*7 + COLUMN()-COLUMN($A$3)+1) - $J$3 + 1)&gt;$J$4,"",(($H3*7 + COLUMN()-COLUMN($A$3)+1) - $J$3 + 1)))</f>
        <v>1</v>
      </c>
      <c r="B3" s="22">
        <f t="shared" si="1"/>
        <v>2</v>
      </c>
      <c r="C3" s="22">
        <f t="shared" si="1"/>
        <v>3</v>
      </c>
      <c r="D3" s="22">
        <f t="shared" si="1"/>
        <v>4</v>
      </c>
      <c r="E3" s="22">
        <f t="shared" si="1"/>
        <v>5</v>
      </c>
      <c r="F3" s="22">
        <f t="shared" si="1"/>
        <v>6</v>
      </c>
      <c r="G3" s="23">
        <f t="shared" si="1"/>
        <v>7</v>
      </c>
      <c r="H3" s="6">
        <v>0.0</v>
      </c>
      <c r="J3" s="14">
        <f>WEEKDAY($J$2,1)</f>
        <v>1</v>
      </c>
    </row>
    <row r="4" ht="54.0" customHeight="1">
      <c r="A4" s="25" t="str">
        <f>IF(A3="","",IFERROR(VLOOKUP(TEXT(DATE(CONFIG!$B$1,$J$1,A3),"mm-dd"),LECTURAS!$A$2:$B$1000,2,FALSE),""))</f>
        <v> 1 Pedro 2; Salmo 79–80</v>
      </c>
      <c r="B4" s="26" t="str">
        <f>IF(B3="","",IFERROR(VLOOKUP(TEXT(DATE(CONFIG!$B$1,$J$1,B3),"mm-dd"),LECTURAS!$A$2:$B$1000,2,FALSE),""))</f>
        <v> 1 Pedro 3; Salmo 81–82</v>
      </c>
      <c r="C4" s="26" t="str">
        <f>IF(C3="","",IFERROR(VLOOKUP(TEXT(DATE(CONFIG!$B$1,$J$1,C3),"mm-dd"),LECTURAS!$A$2:$B$1000,2,FALSE),""))</f>
        <v> 1 Pedro 4; Salmo 83–84</v>
      </c>
      <c r="D4" s="26" t="str">
        <f>IF(D3="","",IFERROR(VLOOKUP(TEXT(DATE(CONFIG!$B$1,$J$1,D3),"mm-dd"),LECTURAS!$A$2:$B$1000,2,FALSE),""))</f>
        <v> 1 Pedro 5; 2 Pedro 1–3; Salmo 85</v>
      </c>
      <c r="E4" s="26" t="str">
        <f>IF(E3="","",IFERROR(VLOOKUP(TEXT(DATE(CONFIG!$B$1,$J$1,E3),"mm-dd"),LECTURAS!$A$2:$B$1000,2,FALSE),""))</f>
        <v> Gálatas 1; Salmo 86–87</v>
      </c>
      <c r="F4" s="26" t="str">
        <f>IF(F3="","",IFERROR(VLOOKUP(TEXT(DATE(CONFIG!$B$1,$J$1,F3),"mm-dd"),LECTURAS!$A$2:$B$1000,2,FALSE),""))</f>
        <v> Gálatas 2; Salmo 88–89</v>
      </c>
      <c r="G4" s="27" t="str">
        <f>IF(G3="","",IFERROR(VLOOKUP(TEXT(DATE(CONFIG!$B$1,$J$1,G3),"mm-dd"),LECTURAS!$A$2:$B$1000,2,FALSE),""))</f>
        <v> Gálatas 3; Salmo 90–91</v>
      </c>
      <c r="H4" s="6">
        <v>0.0</v>
      </c>
      <c r="J4" s="14">
        <f>DAY(EOMONTH($J$2,0))</f>
        <v>30</v>
      </c>
    </row>
    <row r="5" ht="15.75" customHeight="1">
      <c r="A5" s="21">
        <f t="shared" ref="A5:G5" si="2">IF((($H5*7 + COLUMN()-COLUMN($A$5)+1) - $J$3 + 1)&lt;1,"",IF((($H5*7 + COLUMN()-COLUMN($A$5)+1) - $J$3 + 1)&gt;$J$4,"",(($H5*7 + COLUMN()-COLUMN($A$5)+1) - $J$3 + 1)))</f>
        <v>8</v>
      </c>
      <c r="B5" s="22">
        <f t="shared" si="2"/>
        <v>9</v>
      </c>
      <c r="C5" s="22">
        <f t="shared" si="2"/>
        <v>10</v>
      </c>
      <c r="D5" s="22">
        <f t="shared" si="2"/>
        <v>11</v>
      </c>
      <c r="E5" s="22">
        <f t="shared" si="2"/>
        <v>12</v>
      </c>
      <c r="F5" s="22">
        <f t="shared" si="2"/>
        <v>13</v>
      </c>
      <c r="G5" s="23">
        <f t="shared" si="2"/>
        <v>14</v>
      </c>
      <c r="H5" s="6">
        <v>1.0</v>
      </c>
    </row>
    <row r="6" ht="54.0" customHeight="1">
      <c r="A6" s="25" t="str">
        <f>IF(A5="","",IFERROR(VLOOKUP(TEXT(DATE(CONFIG!$B$1,$J$1,A5),"mm-dd"),LECTURAS!$A$2:$B$1000,2,FALSE),""))</f>
        <v> Gálatas 4; Salmo 92–93</v>
      </c>
      <c r="B6" s="26" t="str">
        <f>IF(B5="","",IFERROR(VLOOKUP(TEXT(DATE(CONFIG!$B$1,$J$1,B5),"mm-dd"),LECTURAS!$A$2:$B$1000,2,FALSE),""))</f>
        <v> Gálatas 5; Salmo 94–95</v>
      </c>
      <c r="C6" s="26" t="str">
        <f>IF(C5="","",IFERROR(VLOOKUP(TEXT(DATE(CONFIG!$B$1,$J$1,C5),"mm-dd"),LECTURAS!$A$2:$B$1000,2,FALSE),""))</f>
        <v> Gálatas 6; Salmo 96–97</v>
      </c>
      <c r="D6" s="26" t="str">
        <f>IF(D5="","",IFERROR(VLOOKUP(TEXT(DATE(CONFIG!$B$1,$J$1,D5),"mm-dd"),LECTURAS!$A$2:$B$1000,2,FALSE),""))</f>
        <v> Efesios 1–2; Salmo 98–100</v>
      </c>
      <c r="E6" s="26" t="str">
        <f>IF(E5="","",IFERROR(VLOOKUP(TEXT(DATE(CONFIG!$B$1,$J$1,E5),"mm-dd"),LECTURAS!$A$2:$B$1000,2,FALSE),""))</f>
        <v> Efesios 3; Salmo 101–102</v>
      </c>
      <c r="F6" s="26" t="str">
        <f>IF(F5="","",IFERROR(VLOOKUP(TEXT(DATE(CONFIG!$B$1,$J$1,F5),"mm-dd"),LECTURAS!$A$2:$B$1000,2,FALSE),""))</f>
        <v> Efesios 4; Salmo 103–104</v>
      </c>
      <c r="G6" s="27" t="str">
        <f>IF(G5="","",IFERROR(VLOOKUP(TEXT(DATE(CONFIG!$B$1,$J$1,G5),"mm-dd"),LECTURAS!$A$2:$B$1000,2,FALSE),""))</f>
        <v> Efesios 5; Salmo 105–106</v>
      </c>
      <c r="H6" s="6">
        <v>1.0</v>
      </c>
    </row>
    <row r="7" ht="15.75" customHeight="1">
      <c r="A7" s="21">
        <f t="shared" ref="A7:G7" si="3">IF((($H7*7 + COLUMN()-COLUMN($A$7)+1) - $J$3 + 1)&lt;1,"",IF((($H7*7 + COLUMN()-COLUMN($A$7)+1) - $J$3 + 1)&gt;$J$4,"",(($H7*7 + COLUMN()-COLUMN($A$7)+1) - $J$3 + 1)))</f>
        <v>15</v>
      </c>
      <c r="B7" s="22">
        <f t="shared" si="3"/>
        <v>16</v>
      </c>
      <c r="C7" s="22">
        <f t="shared" si="3"/>
        <v>17</v>
      </c>
      <c r="D7" s="22">
        <f t="shared" si="3"/>
        <v>18</v>
      </c>
      <c r="E7" s="22">
        <f t="shared" si="3"/>
        <v>19</v>
      </c>
      <c r="F7" s="22">
        <f t="shared" si="3"/>
        <v>20</v>
      </c>
      <c r="G7" s="23">
        <f t="shared" si="3"/>
        <v>21</v>
      </c>
      <c r="H7" s="6">
        <v>2.0</v>
      </c>
    </row>
    <row r="8" ht="54.0" customHeight="1">
      <c r="A8" s="25" t="str">
        <f>IF(A7="","",IFERROR(VLOOKUP(TEXT(DATE(CONFIG!$B$1,$J$1,A7),"mm-dd"),LECTURAS!$A$2:$B$1000,2,FALSE),""))</f>
        <v> Efesios 6; Salmo 107–108</v>
      </c>
      <c r="B8" s="26" t="str">
        <f>IF(B7="","",IFERROR(VLOOKUP(TEXT(DATE(CONFIG!$B$1,$J$1,B7),"mm-dd"),LECTURAS!$A$2:$B$1000,2,FALSE),""))</f>
        <v> Filipenses 1; Salmo 109–110</v>
      </c>
      <c r="C8" s="26" t="str">
        <f>IF(C7="","",IFERROR(VLOOKUP(TEXT(DATE(CONFIG!$B$1,$J$1,C7),"mm-dd"),LECTURAS!$A$2:$B$1000,2,FALSE),""))</f>
        <v> Filipenses 2; Salmo 111–112</v>
      </c>
      <c r="D8" s="26" t="str">
        <f>IF(D7="","",IFERROR(VLOOKUP(TEXT(DATE(CONFIG!$B$1,$J$1,D7),"mm-dd"),LECTURAS!$A$2:$B$1000,2,FALSE),""))</f>
        <v> Filipenses 3–4; Colosenses 1–2; Salmo 113</v>
      </c>
      <c r="E8" s="26" t="str">
        <f>IF(E7="","",IFERROR(VLOOKUP(TEXT(DATE(CONFIG!$B$1,$J$1,E7),"mm-dd"),LECTURAS!$A$2:$B$1000,2,FALSE),""))</f>
        <v> Colosenses 3; Salmo 114–115</v>
      </c>
      <c r="F8" s="26" t="str">
        <f>IF(F7="","",IFERROR(VLOOKUP(TEXT(DATE(CONFIG!$B$1,$J$1,F7),"mm-dd"),LECTURAS!$A$2:$B$1000,2,FALSE),""))</f>
        <v> Colosenses 4; Salmo 116–117</v>
      </c>
      <c r="G8" s="27" t="str">
        <f>IF(G7="","",IFERROR(VLOOKUP(TEXT(DATE(CONFIG!$B$1,$J$1,G7),"mm-dd"),LECTURAS!$A$2:$B$1000,2,FALSE),""))</f>
        <v> 1 Tesalonicenses 1–2; Salmo 118</v>
      </c>
      <c r="H8" s="6">
        <v>2.0</v>
      </c>
    </row>
    <row r="9" ht="15.75" customHeight="1">
      <c r="A9" s="21">
        <f t="shared" ref="A9:G9" si="4">IF((($H9*7 + COLUMN()-COLUMN($A$9)+1) - $J$3 + 1)&lt;1,"",IF((($H9*7 + COLUMN()-COLUMN($A$9)+1) - $J$3 + 1)&gt;$J$4,"",(($H9*7 + COLUMN()-COLUMN($A$9)+1) - $J$3 + 1)))</f>
        <v>22</v>
      </c>
      <c r="B9" s="22">
        <f t="shared" si="4"/>
        <v>23</v>
      </c>
      <c r="C9" s="22">
        <f t="shared" si="4"/>
        <v>24</v>
      </c>
      <c r="D9" s="22">
        <f t="shared" si="4"/>
        <v>25</v>
      </c>
      <c r="E9" s="22">
        <f t="shared" si="4"/>
        <v>26</v>
      </c>
      <c r="F9" s="22">
        <f t="shared" si="4"/>
        <v>27</v>
      </c>
      <c r="G9" s="23">
        <f t="shared" si="4"/>
        <v>28</v>
      </c>
      <c r="H9" s="6">
        <v>3.0</v>
      </c>
    </row>
    <row r="10" ht="54.0" customHeight="1">
      <c r="A10" s="25" t="str">
        <f>IF(A9="","",IFERROR(VLOOKUP(TEXT(DATE(CONFIG!$B$1,$J$1,A9),"mm-dd"),LECTURAS!$A$2:$B$1000,2,FALSE),""))</f>
        <v> 1 Tesalonicenses 3; Salmo 119:1–48</v>
      </c>
      <c r="B10" s="26" t="str">
        <f>IF(B9="","",IFERROR(VLOOKUP(TEXT(DATE(CONFIG!$B$1,$J$1,B9),"mm-dd"),LECTURAS!$A$2:$B$1000,2,FALSE),""))</f>
        <v> 1 Tesalonicenses 4; Salmo 119:49–112</v>
      </c>
      <c r="C10" s="26" t="str">
        <f>IF(C9="","",IFERROR(VLOOKUP(TEXT(DATE(CONFIG!$B$1,$J$1,C9),"mm-dd"),LECTURAS!$A$2:$B$1000,2,FALSE),""))</f>
        <v> 1 Tesalonicenses 5; Salmo 119:113–176</v>
      </c>
      <c r="D10" s="26" t="str">
        <f>IF(D9="","",IFERROR(VLOOKUP(TEXT(DATE(CONFIG!$B$1,$J$1,D9),"mm-dd"),LECTURAS!$A$2:$B$1000,2,FALSE),""))</f>
        <v> 2 Tesalonicenses 1–3; Salmo 120</v>
      </c>
      <c r="E10" s="26" t="str">
        <f>IF(E9="","",IFERROR(VLOOKUP(TEXT(DATE(CONFIG!$B$1,$J$1,E9),"mm-dd"),LECTURAS!$A$2:$B$1000,2,FALSE),""))</f>
        <v> Santiago 1; Salmo 121–122</v>
      </c>
      <c r="F10" s="26" t="str">
        <f>IF(F9="","",IFERROR(VLOOKUP(TEXT(DATE(CONFIG!$B$1,$J$1,F9),"mm-dd"),LECTURAS!$A$2:$B$1000,2,FALSE),""))</f>
        <v> Santiago 2; Salmo 123–124</v>
      </c>
      <c r="G10" s="27" t="str">
        <f>IF(G9="","",IFERROR(VLOOKUP(TEXT(DATE(CONFIG!$B$1,$J$1,G9),"mm-dd"),LECTURAS!$A$2:$B$1000,2,FALSE),""))</f>
        <v> Santiago 3; Salmo 125–126</v>
      </c>
      <c r="H10" s="6">
        <v>3.0</v>
      </c>
    </row>
    <row r="11" ht="15.75" customHeight="1">
      <c r="A11" s="21">
        <f t="shared" ref="A11:G11" si="5">IF((($H11*7 + COLUMN()-COLUMN($A$11)+1) - $J$3 + 1)&lt;1,"",IF((($H11*7 + COLUMN()-COLUMN($A$11)+1) - $J$3 + 1)&gt;$J$4,"",(($H11*7 + COLUMN()-COLUMN($A$11)+1) - $J$3 + 1)))</f>
        <v>29</v>
      </c>
      <c r="B11" s="22">
        <f t="shared" si="5"/>
        <v>30</v>
      </c>
      <c r="C11" s="22" t="str">
        <f t="shared" si="5"/>
        <v/>
      </c>
      <c r="D11" s="22" t="str">
        <f t="shared" si="5"/>
        <v/>
      </c>
      <c r="E11" s="22" t="str">
        <f t="shared" si="5"/>
        <v/>
      </c>
      <c r="F11" s="22" t="str">
        <f t="shared" si="5"/>
        <v/>
      </c>
      <c r="G11" s="23" t="str">
        <f t="shared" si="5"/>
        <v/>
      </c>
      <c r="H11" s="6">
        <v>4.0</v>
      </c>
    </row>
    <row r="12" ht="54.0" customHeight="1">
      <c r="A12" s="25" t="str">
        <f>IF(A11="","",IFERROR(VLOOKUP(TEXT(DATE(CONFIG!$B$1,$J$1,A11),"mm-dd"),LECTURAS!$A$2:$B$1000,2,FALSE),""))</f>
        <v> Santiago 4; Salmo 127–128</v>
      </c>
      <c r="B12" s="26" t="str">
        <f>IF(B11="","",IFERROR(VLOOKUP(TEXT(DATE(CONFIG!$B$1,$J$1,B11),"mm-dd"),LECTURAS!$A$2:$B$1000,2,FALSE),""))</f>
        <v> Santiago 5; Salmo 129–130</v>
      </c>
      <c r="C12" s="26" t="str">
        <f>IF(C11="","",IFERROR(VLOOKUP(TEXT(DATE(CONFIG!$B$1,$J$1,C11),"mm-dd"),LECTURAS!$A$2:$B$1000,2,FALSE),""))</f>
        <v/>
      </c>
      <c r="D12" s="26" t="str">
        <f>IF(D11="","",IFERROR(VLOOKUP(TEXT(DATE(CONFIG!$B$1,$J$1,D11),"mm-dd"),LECTURAS!$A$2:$B$1000,2,FALSE),""))</f>
        <v/>
      </c>
      <c r="E12" s="26" t="str">
        <f>IF(E11="","",IFERROR(VLOOKUP(TEXT(DATE(CONFIG!$B$1,$J$1,E11),"mm-dd"),LECTURAS!$A$2:$B$1000,2,FALSE),""))</f>
        <v/>
      </c>
      <c r="F12" s="26" t="str">
        <f>IF(F11="","",IFERROR(VLOOKUP(TEXT(DATE(CONFIG!$B$1,$J$1,F11),"mm-dd"),LECTURAS!$A$2:$B$1000,2,FALSE),""))</f>
        <v/>
      </c>
      <c r="G12" s="27" t="str">
        <f>IF(G11="","",IFERROR(VLOOKUP(TEXT(DATE(CONFIG!$B$1,$J$1,G11),"mm-dd"),LECTURAS!$A$2:$B$1000,2,FALSE),""))</f>
        <v/>
      </c>
      <c r="H12" s="6">
        <v>4.0</v>
      </c>
    </row>
    <row r="13" ht="15.75" customHeight="1">
      <c r="A13" s="21" t="str">
        <f t="shared" ref="A13:G13" si="6">IF((($H13*7 + COLUMN()-COLUMN($A$13)+1) - $J$3 + 1)&lt;1,"",IF((($H13*7 + COLUMN()-COLUMN($A$13)+1) - $J$3 + 1)&gt;$J$4,"",(($H13*7 + COLUMN()-COLUMN($A$13)+1) - $J$3 + 1)))</f>
        <v/>
      </c>
      <c r="B13" s="22" t="str">
        <f t="shared" si="6"/>
        <v/>
      </c>
      <c r="C13" s="22" t="str">
        <f t="shared" si="6"/>
        <v/>
      </c>
      <c r="D13" s="22" t="str">
        <f t="shared" si="6"/>
        <v/>
      </c>
      <c r="E13" s="22" t="str">
        <f t="shared" si="6"/>
        <v/>
      </c>
      <c r="F13" s="22" t="str">
        <f t="shared" si="6"/>
        <v/>
      </c>
      <c r="G13" s="23" t="str">
        <f t="shared" si="6"/>
        <v/>
      </c>
      <c r="H13" s="6">
        <v>5.0</v>
      </c>
    </row>
    <row r="14" ht="54.0" customHeight="1">
      <c r="A14" s="28" t="str">
        <f>IF(A13="","",IFERROR(VLOOKUP(TEXT(DATE(CONFIG!$B$1,$J$1,A13),"mm-dd"),LECTURAS!$A$2:$B$1000,2,FALSE),""))</f>
        <v/>
      </c>
      <c r="B14" s="29" t="str">
        <f>IF(B13="","",IFERROR(VLOOKUP(TEXT(DATE(CONFIG!$B$1,$J$1,B13),"mm-dd"),LECTURAS!$A$2:$B$1000,2,FALSE),""))</f>
        <v/>
      </c>
      <c r="C14" s="29" t="str">
        <f>IF(C13="","",IFERROR(VLOOKUP(TEXT(DATE(CONFIG!$B$1,$J$1,C13),"mm-dd"),LECTURAS!$A$2:$B$1000,2,FALSE),""))</f>
        <v/>
      </c>
      <c r="D14" s="29" t="str">
        <f>IF(D13="","",IFERROR(VLOOKUP(TEXT(DATE(CONFIG!$B$1,$J$1,D13),"mm-dd"),LECTURAS!$A$2:$B$1000,2,FALSE),""))</f>
        <v/>
      </c>
      <c r="E14" s="29" t="str">
        <f>IF(E13="","",IFERROR(VLOOKUP(TEXT(DATE(CONFIG!$B$1,$J$1,E13),"mm-dd"),LECTURAS!$A$2:$B$1000,2,FALSE),""))</f>
        <v/>
      </c>
      <c r="F14" s="29" t="str">
        <f>IF(F13="","",IFERROR(VLOOKUP(TEXT(DATE(CONFIG!$B$1,$J$1,F13),"mm-dd"),LECTURAS!$A$2:$B$1000,2,FALSE),""))</f>
        <v/>
      </c>
      <c r="G14" s="30" t="str">
        <f>IF(G13="","",IFERROR(VLOOKUP(TEXT(DATE(CONFIG!$B$1,$J$1,G13),"mm-dd"),LECTURAS!$A$2:$B$1000,2,FALSE),""))</f>
        <v/>
      </c>
      <c r="H14" s="6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18.0"/>
    <col customWidth="1" min="8" max="10" width="3.0"/>
    <col customWidth="1" min="11" max="26" width="9.14"/>
  </cols>
  <sheetData>
    <row r="1" ht="27.75" customHeight="1">
      <c r="A1" s="11" t="s">
        <v>758</v>
      </c>
      <c r="B1" s="12"/>
      <c r="C1" s="12"/>
      <c r="D1" s="12"/>
      <c r="E1" s="12"/>
      <c r="F1" s="12"/>
      <c r="G1" s="13"/>
      <c r="J1" s="14">
        <v>12.0</v>
      </c>
    </row>
    <row r="2" ht="19.5" customHeight="1">
      <c r="A2" s="16" t="s">
        <v>741</v>
      </c>
      <c r="B2" s="17" t="s">
        <v>742</v>
      </c>
      <c r="C2" s="17" t="s">
        <v>743</v>
      </c>
      <c r="D2" s="17" t="s">
        <v>744</v>
      </c>
      <c r="E2" s="17" t="s">
        <v>745</v>
      </c>
      <c r="F2" s="17" t="s">
        <v>746</v>
      </c>
      <c r="G2" s="18" t="s">
        <v>747</v>
      </c>
      <c r="J2" s="19">
        <f>DATE(CONFIG!$B$1,$J$1,1)</f>
        <v>46357</v>
      </c>
    </row>
    <row r="3" ht="15.75" customHeight="1">
      <c r="A3" s="21" t="str">
        <f t="shared" ref="A3:G3" si="1">IF((($H3*7 + COLUMN()-COLUMN($A$3)+1) - $J$3 + 1)&lt;1,"",IF((($H3*7 + COLUMN()-COLUMN($A$3)+1) - $J$3 + 1)&gt;$J$4,"",(($H3*7 + COLUMN()-COLUMN($A$3)+1) - $J$3 + 1)))</f>
        <v/>
      </c>
      <c r="B3" s="22" t="str">
        <f t="shared" si="1"/>
        <v/>
      </c>
      <c r="C3" s="22">
        <f t="shared" si="1"/>
        <v>1</v>
      </c>
      <c r="D3" s="22">
        <f t="shared" si="1"/>
        <v>2</v>
      </c>
      <c r="E3" s="22">
        <f t="shared" si="1"/>
        <v>3</v>
      </c>
      <c r="F3" s="22">
        <f t="shared" si="1"/>
        <v>4</v>
      </c>
      <c r="G3" s="23">
        <f t="shared" si="1"/>
        <v>5</v>
      </c>
      <c r="H3" s="6">
        <v>0.0</v>
      </c>
      <c r="J3" s="14">
        <f>WEEKDAY($J$2,1)</f>
        <v>3</v>
      </c>
    </row>
    <row r="4" ht="54.0" customHeight="1">
      <c r="A4" s="25" t="str">
        <f>IF(A3="","",IFERROR(VLOOKUP(TEXT(DATE(CONFIG!$B$1,$J$1,A3),"mm-dd"),LECTURAS!$A$2:$B$1000,2,FALSE),""))</f>
        <v/>
      </c>
      <c r="B4" s="26" t="str">
        <f>IF(B3="","",IFERROR(VLOOKUP(TEXT(DATE(CONFIG!$B$1,$J$1,B3),"mm-dd"),LECTURAS!$A$2:$B$1000,2,FALSE),""))</f>
        <v/>
      </c>
      <c r="C4" s="26" t="str">
        <f>IF(C3="","",IFERROR(VLOOKUP(TEXT(DATE(CONFIG!$B$1,$J$1,C3),"mm-dd"),LECTURAS!$A$2:$B$1000,2,FALSE),""))</f>
        <v> Filemón; Salmo 131–132</v>
      </c>
      <c r="D4" s="26" t="str">
        <f>IF(D3="","",IFERROR(VLOOKUP(TEXT(DATE(CONFIG!$B$1,$J$1,D3),"mm-dd"),LECTURAS!$A$2:$B$1000,2,FALSE),""))</f>
        <v> 1 Timoteo 1–3; Salmo 133–134</v>
      </c>
      <c r="E4" s="26" t="str">
        <f>IF(E3="","",IFERROR(VLOOKUP(TEXT(DATE(CONFIG!$B$1,$J$1,E3),"mm-dd"),LECTURAS!$A$2:$B$1000,2,FALSE),""))</f>
        <v> 1 Timoteo 4; Salmo 135–136</v>
      </c>
      <c r="F4" s="26" t="str">
        <f>IF(F3="","",IFERROR(VLOOKUP(TEXT(DATE(CONFIG!$B$1,$J$1,F3),"mm-dd"),LECTURAS!$A$2:$B$1000,2,FALSE),""))</f>
        <v> 1 Timoteo 5; Salmo 137–138</v>
      </c>
      <c r="G4" s="27" t="str">
        <f>IF(G3="","",IFERROR(VLOOKUP(TEXT(DATE(CONFIG!$B$1,$J$1,G3),"mm-dd"),LECTURAS!$A$2:$B$1000,2,FALSE),""))</f>
        <v> 1 Timoteo 6; Salmo 139–140</v>
      </c>
      <c r="H4" s="6">
        <v>0.0</v>
      </c>
      <c r="J4" s="14">
        <f>DAY(EOMONTH($J$2,0))</f>
        <v>31</v>
      </c>
    </row>
    <row r="5" ht="15.75" customHeight="1">
      <c r="A5" s="21">
        <f t="shared" ref="A5:G5" si="2">IF((($H5*7 + COLUMN()-COLUMN($A$5)+1) - $J$3 + 1)&lt;1,"",IF((($H5*7 + COLUMN()-COLUMN($A$5)+1) - $J$3 + 1)&gt;$J$4,"",(($H5*7 + COLUMN()-COLUMN($A$5)+1) - $J$3 + 1)))</f>
        <v>6</v>
      </c>
      <c r="B5" s="22">
        <f t="shared" si="2"/>
        <v>7</v>
      </c>
      <c r="C5" s="22">
        <f t="shared" si="2"/>
        <v>8</v>
      </c>
      <c r="D5" s="22">
        <f t="shared" si="2"/>
        <v>9</v>
      </c>
      <c r="E5" s="22">
        <f t="shared" si="2"/>
        <v>10</v>
      </c>
      <c r="F5" s="22">
        <f t="shared" si="2"/>
        <v>11</v>
      </c>
      <c r="G5" s="23">
        <f t="shared" si="2"/>
        <v>12</v>
      </c>
      <c r="H5" s="6">
        <v>1.0</v>
      </c>
    </row>
    <row r="6" ht="54.0" customHeight="1">
      <c r="A6" s="25" t="str">
        <f>IF(A5="","",IFERROR(VLOOKUP(TEXT(DATE(CONFIG!$B$1,$J$1,A5),"mm-dd"),LECTURAS!$A$2:$B$1000,2,FALSE),""))</f>
        <v> 2 Timoteo 1; Salmo 141–142</v>
      </c>
      <c r="B6" s="26" t="str">
        <f>IF(B5="","",IFERROR(VLOOKUP(TEXT(DATE(CONFIG!$B$1,$J$1,B5),"mm-dd"),LECTURAS!$A$2:$B$1000,2,FALSE),""))</f>
        <v> 2 Timoteo 2; Salmo 143–144</v>
      </c>
      <c r="C6" s="26" t="str">
        <f>IF(C5="","",IFERROR(VLOOKUP(TEXT(DATE(CONFIG!$B$1,$J$1,C5),"mm-dd"),LECTURAS!$A$2:$B$1000,2,FALSE),""))</f>
        <v> 2 Timoteo 3–4; Salmo 145</v>
      </c>
      <c r="D6" s="26" t="str">
        <f>IF(D5="","",IFERROR(VLOOKUP(TEXT(DATE(CONFIG!$B$1,$J$1,D5),"mm-dd"),LECTURAS!$A$2:$B$1000,2,FALSE),""))</f>
        <v> Tito 1–3; Salmo 146–147</v>
      </c>
      <c r="E6" s="26" t="str">
        <f>IF(E5="","",IFERROR(VLOOKUP(TEXT(DATE(CONFIG!$B$1,$J$1,E5),"mm-dd"),LECTURAS!$A$2:$B$1000,2,FALSE),""))</f>
        <v> 1 Juan 1–2; Salmo 148</v>
      </c>
      <c r="F6" s="26" t="str">
        <f>IF(F5="","",IFERROR(VLOOKUP(TEXT(DATE(CONFIG!$B$1,$J$1,F5),"mm-dd"),LECTURAS!$A$2:$B$1000,2,FALSE),""))</f>
        <v> 1 Juan 3–4; Salmo 149</v>
      </c>
      <c r="G6" s="27" t="str">
        <f>IF(G5="","",IFERROR(VLOOKUP(TEXT(DATE(CONFIG!$B$1,$J$1,G5),"mm-dd"),LECTURAS!$A$2:$B$1000,2,FALSE),""))</f>
        <v> 1 Juan 5; 2 Juan; Salmo 150</v>
      </c>
      <c r="H6" s="6">
        <v>1.0</v>
      </c>
    </row>
    <row r="7" ht="15.75" customHeight="1">
      <c r="A7" s="21">
        <f t="shared" ref="A7:G7" si="3">IF((($H7*7 + COLUMN()-COLUMN($A$7)+1) - $J$3 + 1)&lt;1,"",IF((($H7*7 + COLUMN()-COLUMN($A$7)+1) - $J$3 + 1)&gt;$J$4,"",(($H7*7 + COLUMN()-COLUMN($A$7)+1) - $J$3 + 1)))</f>
        <v>13</v>
      </c>
      <c r="B7" s="22">
        <f t="shared" si="3"/>
        <v>14</v>
      </c>
      <c r="C7" s="22">
        <f t="shared" si="3"/>
        <v>15</v>
      </c>
      <c r="D7" s="22">
        <f t="shared" si="3"/>
        <v>16</v>
      </c>
      <c r="E7" s="22">
        <f t="shared" si="3"/>
        <v>17</v>
      </c>
      <c r="F7" s="22">
        <f t="shared" si="3"/>
        <v>18</v>
      </c>
      <c r="G7" s="23">
        <f t="shared" si="3"/>
        <v>19</v>
      </c>
      <c r="H7" s="6">
        <v>2.0</v>
      </c>
    </row>
    <row r="8" ht="54.0" customHeight="1">
      <c r="A8" s="25" t="str">
        <f>IF(A7="","",IFERROR(VLOOKUP(TEXT(DATE(CONFIG!$B$1,$J$1,A7),"mm-dd"),LECTURAS!$A$2:$B$1000,2,FALSE),""))</f>
        <v> 3 Juan; Judas; Lucas 1</v>
      </c>
      <c r="B8" s="26" t="str">
        <f>IF(B7="","",IFERROR(VLOOKUP(TEXT(DATE(CONFIG!$B$1,$J$1,B7),"mm-dd"),LECTURAS!$A$2:$B$1000,2,FALSE),""))</f>
        <v> Lucas 2–3; Apocalipsis 1</v>
      </c>
      <c r="C8" s="26" t="str">
        <f>IF(C7="","",IFERROR(VLOOKUP(TEXT(DATE(CONFIG!$B$1,$J$1,C7),"mm-dd"),LECTURAS!$A$2:$B$1000,2,FALSE),""))</f>
        <v> Lucas 4; Apocalipsis 2–3</v>
      </c>
      <c r="D8" s="26" t="str">
        <f>IF(D7="","",IFERROR(VLOOKUP(TEXT(DATE(CONFIG!$B$1,$J$1,D7),"mm-dd"),LECTURAS!$A$2:$B$1000,2,FALSE),""))</f>
        <v> Lucas 5–7; Apocalipsis 4–5</v>
      </c>
      <c r="E8" s="26" t="str">
        <f>IF(E7="","",IFERROR(VLOOKUP(TEXT(DATE(CONFIG!$B$1,$J$1,E7),"mm-dd"),LECTURAS!$A$2:$B$1000,2,FALSE),""))</f>
        <v> Lucas 8–9; Apocalipsis 6</v>
      </c>
      <c r="F8" s="26" t="str">
        <f>IF(F7="","",IFERROR(VLOOKUP(TEXT(DATE(CONFIG!$B$1,$J$1,F7),"mm-dd"),LECTURAS!$A$2:$B$1000,2,FALSE),""))</f>
        <v> Lucas 10–11; Apocalipsis 7</v>
      </c>
      <c r="G8" s="27" t="str">
        <f>IF(G7="","",IFERROR(VLOOKUP(TEXT(DATE(CONFIG!$B$1,$J$1,G7),"mm-dd"),LECTURAS!$A$2:$B$1000,2,FALSE),""))</f>
        <v> Lucas 12; Apocalipsis 8–9</v>
      </c>
      <c r="H8" s="6">
        <v>2.0</v>
      </c>
    </row>
    <row r="9" ht="15.75" customHeight="1">
      <c r="A9" s="21">
        <f t="shared" ref="A9:G9" si="4">IF((($H9*7 + COLUMN()-COLUMN($A$9)+1) - $J$3 + 1)&lt;1,"",IF((($H9*7 + COLUMN()-COLUMN($A$9)+1) - $J$3 + 1)&gt;$J$4,"",(($H9*7 + COLUMN()-COLUMN($A$9)+1) - $J$3 + 1)))</f>
        <v>20</v>
      </c>
      <c r="B9" s="22">
        <f t="shared" si="4"/>
        <v>21</v>
      </c>
      <c r="C9" s="22">
        <f t="shared" si="4"/>
        <v>22</v>
      </c>
      <c r="D9" s="22">
        <f t="shared" si="4"/>
        <v>23</v>
      </c>
      <c r="E9" s="22">
        <f t="shared" si="4"/>
        <v>24</v>
      </c>
      <c r="F9" s="22">
        <f t="shared" si="4"/>
        <v>25</v>
      </c>
      <c r="G9" s="23">
        <f t="shared" si="4"/>
        <v>26</v>
      </c>
      <c r="H9" s="6">
        <v>3.0</v>
      </c>
    </row>
    <row r="10" ht="54.0" customHeight="1">
      <c r="A10" s="25" t="str">
        <f>IF(A9="","",IFERROR(VLOOKUP(TEXT(DATE(CONFIG!$B$1,$J$1,A9),"mm-dd"),LECTURAS!$A$2:$B$1000,2,FALSE),""))</f>
        <v> Lucas 13–14; Apocalipsis 10</v>
      </c>
      <c r="B10" s="26" t="str">
        <f>IF(B9="","",IFERROR(VLOOKUP(TEXT(DATE(CONFIG!$B$1,$J$1,B9),"mm-dd"),LECTURAS!$A$2:$B$1000,2,FALSE),""))</f>
        <v> Lucas 15–16; Apocalipsis 11</v>
      </c>
      <c r="C10" s="26" t="str">
        <f>IF(C9="","",IFERROR(VLOOKUP(TEXT(DATE(CONFIG!$B$1,$J$1,C9),"mm-dd"),LECTURAS!$A$2:$B$1000,2,FALSE),""))</f>
        <v> Lucas 17–18; Apocalipsis 12</v>
      </c>
      <c r="D10" s="26" t="str">
        <f>IF(D9="","",IFERROR(VLOOKUP(TEXT(DATE(CONFIG!$B$1,$J$1,D9),"mm-dd"),LECTURAS!$A$2:$B$1000,2,FALSE),""))</f>
        <v> Lucas 19; Apocalipsis 13–14</v>
      </c>
      <c r="E10" s="26" t="str">
        <f>IF(E9="","",IFERROR(VLOOKUP(TEXT(DATE(CONFIG!$B$1,$J$1,E9),"mm-dd"),LECTURAS!$A$2:$B$1000,2,FALSE),""))</f>
        <v> Lucas 20; Apocalipsis 15</v>
      </c>
      <c r="F10" s="26" t="str">
        <f>IF(F9="","",IFERROR(VLOOKUP(TEXT(DATE(CONFIG!$B$1,$J$1,F9),"mm-dd"),LECTURAS!$A$2:$B$1000,2,FALSE),""))</f>
        <v> Lucas 21; Apocalipsis 16</v>
      </c>
      <c r="G10" s="27" t="str">
        <f>IF(G9="","",IFERROR(VLOOKUP(TEXT(DATE(CONFIG!$B$1,$J$1,G9),"mm-dd"),LECTURAS!$A$2:$B$1000,2,FALSE),""))</f>
        <v> Lucas 22; Apocalipsis 17</v>
      </c>
      <c r="H10" s="6">
        <v>3.0</v>
      </c>
    </row>
    <row r="11" ht="15.75" customHeight="1">
      <c r="A11" s="21">
        <f t="shared" ref="A11:G11" si="5">IF((($H11*7 + COLUMN()-COLUMN($A$11)+1) - $J$3 + 1)&lt;1,"",IF((($H11*7 + COLUMN()-COLUMN($A$11)+1) - $J$3 + 1)&gt;$J$4,"",(($H11*7 + COLUMN()-COLUMN($A$11)+1) - $J$3 + 1)))</f>
        <v>27</v>
      </c>
      <c r="B11" s="22">
        <f t="shared" si="5"/>
        <v>28</v>
      </c>
      <c r="C11" s="22">
        <f t="shared" si="5"/>
        <v>29</v>
      </c>
      <c r="D11" s="22">
        <f t="shared" si="5"/>
        <v>30</v>
      </c>
      <c r="E11" s="22">
        <f t="shared" si="5"/>
        <v>31</v>
      </c>
      <c r="F11" s="22" t="str">
        <f t="shared" si="5"/>
        <v/>
      </c>
      <c r="G11" s="23" t="str">
        <f t="shared" si="5"/>
        <v/>
      </c>
      <c r="H11" s="6">
        <v>4.0</v>
      </c>
    </row>
    <row r="12" ht="54.0" customHeight="1">
      <c r="A12" s="25" t="str">
        <f>IF(A11="","",IFERROR(VLOOKUP(TEXT(DATE(CONFIG!$B$1,$J$1,A11),"mm-dd"),LECTURAS!$A$2:$B$1000,2,FALSE),""))</f>
        <v> Lucas 23; Apocalipsis 18</v>
      </c>
      <c r="B12" s="26" t="str">
        <f>IF(B11="","",IFERROR(VLOOKUP(TEXT(DATE(CONFIG!$B$1,$J$1,B11),"mm-dd"),LECTURAS!$A$2:$B$1000,2,FALSE),""))</f>
        <v> Lucas 24; Apocalipsis 19</v>
      </c>
      <c r="C12" s="26" t="str">
        <f>IF(C11="","",IFERROR(VLOOKUP(TEXT(DATE(CONFIG!$B$1,$J$1,C11),"mm-dd"),LECTURAS!$A$2:$B$1000,2,FALSE),""))</f>
        <v> Apocalipsis 20</v>
      </c>
      <c r="D12" s="26" t="str">
        <f>IF(D11="","",IFERROR(VLOOKUP(TEXT(DATE(CONFIG!$B$1,$J$1,D11),"mm-dd"),LECTURAS!$A$2:$B$1000,2,FALSE),""))</f>
        <v> Apocalipsis 21</v>
      </c>
      <c r="E12" s="26" t="str">
        <f>IF(E11="","",IFERROR(VLOOKUP(TEXT(DATE(CONFIG!$B$1,$J$1,E11),"mm-dd"),LECTURAS!$A$2:$B$1000,2,FALSE),""))</f>
        <v> Apocalipsis 22</v>
      </c>
      <c r="F12" s="26" t="str">
        <f>IF(F11="","",IFERROR(VLOOKUP(TEXT(DATE(CONFIG!$B$1,$J$1,F11),"mm-dd"),LECTURAS!$A$2:$B$1000,2,FALSE),""))</f>
        <v/>
      </c>
      <c r="G12" s="27" t="str">
        <f>IF(G11="","",IFERROR(VLOOKUP(TEXT(DATE(CONFIG!$B$1,$J$1,G11),"mm-dd"),LECTURAS!$A$2:$B$1000,2,FALSE),""))</f>
        <v/>
      </c>
      <c r="H12" s="6">
        <v>4.0</v>
      </c>
    </row>
    <row r="13" ht="15.75" customHeight="1">
      <c r="A13" s="21" t="str">
        <f t="shared" ref="A13:G13" si="6">IF((($H13*7 + COLUMN()-COLUMN($A$13)+1) - $J$3 + 1)&lt;1,"",IF((($H13*7 + COLUMN()-COLUMN($A$13)+1) - $J$3 + 1)&gt;$J$4,"",(($H13*7 + COLUMN()-COLUMN($A$13)+1) - $J$3 + 1)))</f>
        <v/>
      </c>
      <c r="B13" s="22" t="str">
        <f t="shared" si="6"/>
        <v/>
      </c>
      <c r="C13" s="22" t="str">
        <f t="shared" si="6"/>
        <v/>
      </c>
      <c r="D13" s="22" t="str">
        <f t="shared" si="6"/>
        <v/>
      </c>
      <c r="E13" s="22" t="str">
        <f t="shared" si="6"/>
        <v/>
      </c>
      <c r="F13" s="22" t="str">
        <f t="shared" si="6"/>
        <v/>
      </c>
      <c r="G13" s="23" t="str">
        <f t="shared" si="6"/>
        <v/>
      </c>
      <c r="H13" s="6">
        <v>5.0</v>
      </c>
    </row>
    <row r="14" ht="54.0" customHeight="1">
      <c r="A14" s="28" t="str">
        <f>IF(A13="","",IFERROR(VLOOKUP(TEXT(DATE(CONFIG!$B$1,$J$1,A13),"mm-dd"),LECTURAS!$A$2:$B$1000,2,FALSE),""))</f>
        <v/>
      </c>
      <c r="B14" s="29" t="str">
        <f>IF(B13="","",IFERROR(VLOOKUP(TEXT(DATE(CONFIG!$B$1,$J$1,B13),"mm-dd"),LECTURAS!$A$2:$B$1000,2,FALSE),""))</f>
        <v/>
      </c>
      <c r="C14" s="29" t="str">
        <f>IF(C13="","",IFERROR(VLOOKUP(TEXT(DATE(CONFIG!$B$1,$J$1,C13),"mm-dd"),LECTURAS!$A$2:$B$1000,2,FALSE),""))</f>
        <v/>
      </c>
      <c r="D14" s="29" t="str">
        <f>IF(D13="","",IFERROR(VLOOKUP(TEXT(DATE(CONFIG!$B$1,$J$1,D13),"mm-dd"),LECTURAS!$A$2:$B$1000,2,FALSE),""))</f>
        <v/>
      </c>
      <c r="E14" s="29" t="str">
        <f>IF(E13="","",IFERROR(VLOOKUP(TEXT(DATE(CONFIG!$B$1,$J$1,E13),"mm-dd"),LECTURAS!$A$2:$B$1000,2,FALSE),""))</f>
        <v/>
      </c>
      <c r="F14" s="29" t="str">
        <f>IF(F13="","",IFERROR(VLOOKUP(TEXT(DATE(CONFIG!$B$1,$J$1,F13),"mm-dd"),LECTURAS!$A$2:$B$1000,2,FALSE),""))</f>
        <v/>
      </c>
      <c r="G14" s="30" t="str">
        <f>IF(G13="","",IFERROR(VLOOKUP(TEXT(DATE(CONFIG!$B$1,$J$1,G13),"mm-dd"),LECTURAS!$A$2:$B$1000,2,FALSE),""))</f>
        <v/>
      </c>
      <c r="H14" s="6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2025-12-17T13:29:16Z</dcterms:created>
  <dc:creator>openpyxl</dc:creator>
</cp:coreProperties>
</file>